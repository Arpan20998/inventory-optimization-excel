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\Desktop\"/>
    </mc:Choice>
  </mc:AlternateContent>
  <xr:revisionPtr revIDLastSave="0" documentId="13_ncr:1_{716CDA6F-ED6A-4E3E-AB56-F55EC109500E}" xr6:coauthVersionLast="47" xr6:coauthVersionMax="47" xr10:uidLastSave="{00000000-0000-0000-0000-000000000000}"/>
  <bookViews>
    <workbookView xWindow="-120" yWindow="-120" windowWidth="20730" windowHeight="11160" xr2:uid="{4FE28A61-4C3E-4555-93C3-C05D9BABA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Y198" i="1" s="1"/>
  <c r="V199" i="1"/>
  <c r="V200" i="1"/>
  <c r="V201" i="1"/>
  <c r="V202" i="1"/>
  <c r="Y202" i="1" s="1"/>
  <c r="V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5" i="1"/>
  <c r="U59" i="1"/>
  <c r="U91" i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Z198" i="1" s="1"/>
  <c r="T199" i="1"/>
  <c r="U199" i="1" s="1"/>
  <c r="T200" i="1"/>
  <c r="U200" i="1" s="1"/>
  <c r="T201" i="1"/>
  <c r="U201" i="1" s="1"/>
  <c r="T202" i="1"/>
  <c r="U202" i="1" s="1"/>
  <c r="Z202" i="1" s="1"/>
  <c r="T5" i="1"/>
  <c r="U5" i="1" s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5" i="1"/>
  <c r="Z153" i="1" l="1"/>
  <c r="Z169" i="1"/>
  <c r="Z184" i="1"/>
  <c r="Z152" i="1"/>
  <c r="Z136" i="1"/>
  <c r="Z120" i="1"/>
  <c r="Z199" i="1"/>
  <c r="Z183" i="1"/>
  <c r="Z167" i="1"/>
  <c r="Z151" i="1"/>
  <c r="Z135" i="1"/>
  <c r="Z119" i="1"/>
  <c r="Z103" i="1"/>
  <c r="Z83" i="1"/>
  <c r="Z194" i="1"/>
  <c r="Z178" i="1"/>
  <c r="Z162" i="1"/>
  <c r="Z146" i="1"/>
  <c r="Z130" i="1"/>
  <c r="Z114" i="1"/>
  <c r="Z98" i="1"/>
  <c r="Z82" i="1"/>
  <c r="Z66" i="1"/>
  <c r="Z50" i="1"/>
  <c r="Z34" i="1"/>
  <c r="Z18" i="1"/>
  <c r="Z197" i="1"/>
  <c r="Z165" i="1"/>
  <c r="Z141" i="1"/>
  <c r="Z125" i="1"/>
  <c r="Z109" i="1"/>
  <c r="Z93" i="1"/>
  <c r="Z77" i="1"/>
  <c r="Z61" i="1"/>
  <c r="Z45" i="1"/>
  <c r="Z29" i="1"/>
  <c r="Z13" i="1"/>
  <c r="Y194" i="1"/>
  <c r="Y190" i="1"/>
  <c r="Z190" i="1" s="1"/>
  <c r="Y186" i="1"/>
  <c r="Z186" i="1" s="1"/>
  <c r="Y182" i="1"/>
  <c r="Z182" i="1" s="1"/>
  <c r="Y178" i="1"/>
  <c r="Y174" i="1"/>
  <c r="Z174" i="1" s="1"/>
  <c r="Y170" i="1"/>
  <c r="Z170" i="1" s="1"/>
  <c r="Y166" i="1"/>
  <c r="Z166" i="1" s="1"/>
  <c r="Y162" i="1"/>
  <c r="Y158" i="1"/>
  <c r="Z158" i="1" s="1"/>
  <c r="Y154" i="1"/>
  <c r="Z154" i="1" s="1"/>
  <c r="Y150" i="1"/>
  <c r="Z150" i="1" s="1"/>
  <c r="Y146" i="1"/>
  <c r="Y142" i="1"/>
  <c r="Z142" i="1" s="1"/>
  <c r="Y138" i="1"/>
  <c r="Z138" i="1" s="1"/>
  <c r="Y134" i="1"/>
  <c r="Z134" i="1" s="1"/>
  <c r="Y130" i="1"/>
  <c r="Y126" i="1"/>
  <c r="Z126" i="1" s="1"/>
  <c r="Y122" i="1"/>
  <c r="Z122" i="1" s="1"/>
  <c r="Y118" i="1"/>
  <c r="Z118" i="1" s="1"/>
  <c r="Y114" i="1"/>
  <c r="Y110" i="1"/>
  <c r="Z110" i="1" s="1"/>
  <c r="Y106" i="1"/>
  <c r="Z106" i="1" s="1"/>
  <c r="Y102" i="1"/>
  <c r="Z102" i="1" s="1"/>
  <c r="Y98" i="1"/>
  <c r="Y94" i="1"/>
  <c r="Z94" i="1" s="1"/>
  <c r="Y90" i="1"/>
  <c r="Z90" i="1" s="1"/>
  <c r="Y86" i="1"/>
  <c r="Z86" i="1" s="1"/>
  <c r="Y82" i="1"/>
  <c r="Y78" i="1"/>
  <c r="Z78" i="1" s="1"/>
  <c r="Y74" i="1"/>
  <c r="Z74" i="1" s="1"/>
  <c r="Y70" i="1"/>
  <c r="Z70" i="1" s="1"/>
  <c r="Y66" i="1"/>
  <c r="Y62" i="1"/>
  <c r="Z62" i="1" s="1"/>
  <c r="Y58" i="1"/>
  <c r="Z58" i="1" s="1"/>
  <c r="Y54" i="1"/>
  <c r="Z54" i="1" s="1"/>
  <c r="Y50" i="1"/>
  <c r="Y46" i="1"/>
  <c r="Z46" i="1" s="1"/>
  <c r="Y42" i="1"/>
  <c r="Z42" i="1" s="1"/>
  <c r="Y38" i="1"/>
  <c r="Z38" i="1" s="1"/>
  <c r="Y34" i="1"/>
  <c r="Y30" i="1"/>
  <c r="Z30" i="1" s="1"/>
  <c r="Y26" i="1"/>
  <c r="Z26" i="1" s="1"/>
  <c r="Y22" i="1"/>
  <c r="Z22" i="1" s="1"/>
  <c r="Y18" i="1"/>
  <c r="Y14" i="1"/>
  <c r="Z14" i="1" s="1"/>
  <c r="Y10" i="1"/>
  <c r="Z10" i="1" s="1"/>
  <c r="Y199" i="1"/>
  <c r="Y195" i="1"/>
  <c r="Z195" i="1" s="1"/>
  <c r="Y191" i="1"/>
  <c r="Z191" i="1" s="1"/>
  <c r="Y187" i="1"/>
  <c r="Z187" i="1" s="1"/>
  <c r="Y183" i="1"/>
  <c r="Y179" i="1"/>
  <c r="Z179" i="1" s="1"/>
  <c r="Y175" i="1"/>
  <c r="Z175" i="1" s="1"/>
  <c r="Y171" i="1"/>
  <c r="Z171" i="1" s="1"/>
  <c r="Y167" i="1"/>
  <c r="Y163" i="1"/>
  <c r="Z163" i="1" s="1"/>
  <c r="Y159" i="1"/>
  <c r="Z159" i="1" s="1"/>
  <c r="Y155" i="1"/>
  <c r="Z155" i="1" s="1"/>
  <c r="Y151" i="1"/>
  <c r="Y147" i="1"/>
  <c r="Z147" i="1" s="1"/>
  <c r="Y143" i="1"/>
  <c r="Z143" i="1" s="1"/>
  <c r="Y139" i="1"/>
  <c r="Z139" i="1" s="1"/>
  <c r="Y135" i="1"/>
  <c r="Y131" i="1"/>
  <c r="Z131" i="1" s="1"/>
  <c r="Y127" i="1"/>
  <c r="Z127" i="1" s="1"/>
  <c r="Y123" i="1"/>
  <c r="Z123" i="1" s="1"/>
  <c r="Y119" i="1"/>
  <c r="Y115" i="1"/>
  <c r="Z115" i="1" s="1"/>
  <c r="Y111" i="1"/>
  <c r="Z111" i="1" s="1"/>
  <c r="Y107" i="1"/>
  <c r="Z107" i="1" s="1"/>
  <c r="Y103" i="1"/>
  <c r="Y99" i="1"/>
  <c r="Z99" i="1" s="1"/>
  <c r="Y95" i="1"/>
  <c r="Z95" i="1" s="1"/>
  <c r="Y91" i="1"/>
  <c r="Z91" i="1" s="1"/>
  <c r="Y87" i="1"/>
  <c r="Z87" i="1" s="1"/>
  <c r="Y83" i="1"/>
  <c r="Y79" i="1"/>
  <c r="Z79" i="1" s="1"/>
  <c r="Y75" i="1"/>
  <c r="Z75" i="1" s="1"/>
  <c r="Y71" i="1"/>
  <c r="Y67" i="1"/>
  <c r="Y63" i="1"/>
  <c r="Y59" i="1"/>
  <c r="Z59" i="1" s="1"/>
  <c r="Y55" i="1"/>
  <c r="Y51" i="1"/>
  <c r="Y47" i="1"/>
  <c r="Y43" i="1"/>
  <c r="Z43" i="1" s="1"/>
  <c r="Y39" i="1"/>
  <c r="Y35" i="1"/>
  <c r="Y31" i="1"/>
  <c r="Y27" i="1"/>
  <c r="Z27" i="1" s="1"/>
  <c r="Y23" i="1"/>
  <c r="Y19" i="1"/>
  <c r="Y15" i="1"/>
  <c r="Y11" i="1"/>
  <c r="Z11" i="1" s="1"/>
  <c r="Y7" i="1"/>
  <c r="Z104" i="1"/>
  <c r="Z88" i="1"/>
  <c r="Z72" i="1"/>
  <c r="Z56" i="1"/>
  <c r="Z40" i="1"/>
  <c r="Z24" i="1"/>
  <c r="Z71" i="1"/>
  <c r="Z67" i="1"/>
  <c r="Z63" i="1"/>
  <c r="Z55" i="1"/>
  <c r="Z51" i="1"/>
  <c r="Z47" i="1"/>
  <c r="Z39" i="1"/>
  <c r="Z35" i="1"/>
  <c r="Z31" i="1"/>
  <c r="Z23" i="1"/>
  <c r="Z19" i="1"/>
  <c r="Z15" i="1"/>
  <c r="Z7" i="1"/>
  <c r="Y200" i="1"/>
  <c r="Z200" i="1" s="1"/>
  <c r="Y196" i="1"/>
  <c r="Z196" i="1" s="1"/>
  <c r="Y192" i="1"/>
  <c r="Z192" i="1" s="1"/>
  <c r="Y188" i="1"/>
  <c r="Z188" i="1" s="1"/>
  <c r="Y184" i="1"/>
  <c r="Y180" i="1"/>
  <c r="Z180" i="1" s="1"/>
  <c r="Y176" i="1"/>
  <c r="Z176" i="1" s="1"/>
  <c r="Y172" i="1"/>
  <c r="Z172" i="1" s="1"/>
  <c r="Y168" i="1"/>
  <c r="Z168" i="1" s="1"/>
  <c r="Y164" i="1"/>
  <c r="Z164" i="1" s="1"/>
  <c r="Y160" i="1"/>
  <c r="Z160" i="1" s="1"/>
  <c r="Y156" i="1"/>
  <c r="Z156" i="1" s="1"/>
  <c r="Y152" i="1"/>
  <c r="Y148" i="1"/>
  <c r="Z148" i="1" s="1"/>
  <c r="Y144" i="1"/>
  <c r="Z144" i="1" s="1"/>
  <c r="Y140" i="1"/>
  <c r="Z140" i="1" s="1"/>
  <c r="Y136" i="1"/>
  <c r="Y132" i="1"/>
  <c r="Z132" i="1" s="1"/>
  <c r="Y128" i="1"/>
  <c r="Z128" i="1" s="1"/>
  <c r="Y124" i="1"/>
  <c r="Z124" i="1" s="1"/>
  <c r="Y120" i="1"/>
  <c r="Y116" i="1"/>
  <c r="Z116" i="1" s="1"/>
  <c r="Y112" i="1"/>
  <c r="Z112" i="1" s="1"/>
  <c r="Y108" i="1"/>
  <c r="Z108" i="1" s="1"/>
  <c r="Y104" i="1"/>
  <c r="Y100" i="1"/>
  <c r="Z100" i="1" s="1"/>
  <c r="Y96" i="1"/>
  <c r="Z96" i="1" s="1"/>
  <c r="Y92" i="1"/>
  <c r="Z92" i="1" s="1"/>
  <c r="Y88" i="1"/>
  <c r="Y84" i="1"/>
  <c r="Z84" i="1" s="1"/>
  <c r="Y80" i="1"/>
  <c r="Z80" i="1" s="1"/>
  <c r="Y76" i="1"/>
  <c r="Z76" i="1" s="1"/>
  <c r="Y72" i="1"/>
  <c r="Y68" i="1"/>
  <c r="Z68" i="1" s="1"/>
  <c r="Y64" i="1"/>
  <c r="Z64" i="1" s="1"/>
  <c r="Y60" i="1"/>
  <c r="Z60" i="1" s="1"/>
  <c r="Y56" i="1"/>
  <c r="Y52" i="1"/>
  <c r="Z52" i="1" s="1"/>
  <c r="Y48" i="1"/>
  <c r="Z48" i="1" s="1"/>
  <c r="Y44" i="1"/>
  <c r="Z44" i="1" s="1"/>
  <c r="Y40" i="1"/>
  <c r="Y36" i="1"/>
  <c r="Z36" i="1" s="1"/>
  <c r="Y32" i="1"/>
  <c r="Z32" i="1" s="1"/>
  <c r="Y28" i="1"/>
  <c r="Z28" i="1" s="1"/>
  <c r="Y24" i="1"/>
  <c r="Y20" i="1"/>
  <c r="Z20" i="1" s="1"/>
  <c r="Y16" i="1"/>
  <c r="Z16" i="1" s="1"/>
  <c r="Y12" i="1"/>
  <c r="Z12" i="1" s="1"/>
  <c r="Y201" i="1"/>
  <c r="Z201" i="1" s="1"/>
  <c r="Y197" i="1"/>
  <c r="Y193" i="1"/>
  <c r="Z193" i="1" s="1"/>
  <c r="Y189" i="1"/>
  <c r="Z189" i="1" s="1"/>
  <c r="Y185" i="1"/>
  <c r="Z185" i="1" s="1"/>
  <c r="Y181" i="1"/>
  <c r="Z181" i="1" s="1"/>
  <c r="Y177" i="1"/>
  <c r="Z177" i="1" s="1"/>
  <c r="Y173" i="1"/>
  <c r="Z173" i="1" s="1"/>
  <c r="Y169" i="1"/>
  <c r="Y165" i="1"/>
  <c r="Y161" i="1"/>
  <c r="Z161" i="1" s="1"/>
  <c r="Y157" i="1"/>
  <c r="Z157" i="1" s="1"/>
  <c r="Y153" i="1"/>
  <c r="Y149" i="1"/>
  <c r="Z149" i="1" s="1"/>
  <c r="Y6" i="1"/>
  <c r="Z6" i="1" s="1"/>
  <c r="Y145" i="1"/>
  <c r="Z145" i="1" s="1"/>
  <c r="Y141" i="1"/>
  <c r="Y137" i="1"/>
  <c r="Z137" i="1" s="1"/>
  <c r="Y133" i="1"/>
  <c r="Z133" i="1" s="1"/>
  <c r="Y129" i="1"/>
  <c r="Z129" i="1" s="1"/>
  <c r="Y125" i="1"/>
  <c r="Y121" i="1"/>
  <c r="Z121" i="1" s="1"/>
  <c r="Y117" i="1"/>
  <c r="Z117" i="1" s="1"/>
  <c r="Y113" i="1"/>
  <c r="Z113" i="1" s="1"/>
  <c r="Y109" i="1"/>
  <c r="Y105" i="1"/>
  <c r="Z105" i="1" s="1"/>
  <c r="Y101" i="1"/>
  <c r="Z101" i="1" s="1"/>
  <c r="Y97" i="1"/>
  <c r="Z97" i="1" s="1"/>
  <c r="Y93" i="1"/>
  <c r="Y89" i="1"/>
  <c r="Z89" i="1" s="1"/>
  <c r="Y85" i="1"/>
  <c r="Z85" i="1" s="1"/>
  <c r="Y81" i="1"/>
  <c r="Z81" i="1" s="1"/>
  <c r="Y77" i="1"/>
  <c r="Y73" i="1"/>
  <c r="Z73" i="1" s="1"/>
  <c r="Y69" i="1"/>
  <c r="Z69" i="1" s="1"/>
  <c r="Y65" i="1"/>
  <c r="Z65" i="1" s="1"/>
  <c r="Y61" i="1"/>
  <c r="Y57" i="1"/>
  <c r="Z57" i="1" s="1"/>
  <c r="Y53" i="1"/>
  <c r="Z53" i="1" s="1"/>
  <c r="Y49" i="1"/>
  <c r="Z49" i="1" s="1"/>
  <c r="Y45" i="1"/>
  <c r="Y41" i="1"/>
  <c r="Z41" i="1" s="1"/>
  <c r="Y37" i="1"/>
  <c r="Z37" i="1" s="1"/>
  <c r="Y33" i="1"/>
  <c r="Z33" i="1" s="1"/>
  <c r="Y29" i="1"/>
  <c r="Y25" i="1"/>
  <c r="Z25" i="1" s="1"/>
  <c r="Y21" i="1"/>
  <c r="Z21" i="1" s="1"/>
  <c r="Y17" i="1"/>
  <c r="Z17" i="1" s="1"/>
  <c r="Y13" i="1"/>
  <c r="Y9" i="1"/>
  <c r="Z9" i="1" s="1"/>
  <c r="Y5" i="1"/>
  <c r="Z5" i="1" s="1"/>
  <c r="Y8" i="1"/>
  <c r="Z8" i="1" s="1"/>
</calcChain>
</file>

<file path=xl/sharedStrings.xml><?xml version="1.0" encoding="utf-8"?>
<sst xmlns="http://schemas.openxmlformats.org/spreadsheetml/2006/main" count="224" uniqueCount="224">
  <si>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</si>
  <si>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</si>
  <si>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</si>
  <si>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</si>
  <si>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</si>
  <si>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</si>
  <si>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</si>
  <si>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</si>
  <si>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</si>
  <si>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</si>
  <si>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</si>
  <si>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</si>
  <si>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</si>
  <si>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</si>
  <si>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</si>
  <si>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</si>
  <si>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</si>
  <si>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</si>
  <si>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</si>
  <si>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</si>
  <si>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</si>
  <si>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</si>
  <si>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</si>
  <si>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</si>
  <si>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</si>
  <si>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</si>
  <si>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</si>
  <si>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</si>
  <si>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</si>
  <si>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</si>
  <si>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</si>
  <si>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</si>
  <si>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</si>
  <si>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</si>
  <si>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</si>
  <si>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</si>
  <si>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</si>
  <si>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</si>
  <si>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</si>
  <si>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</si>
  <si>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</si>
  <si>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</si>
  <si>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</si>
  <si>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</si>
  <si>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</si>
  <si>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</si>
  <si>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</si>
  <si>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</si>
  <si>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</si>
  <si>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</si>
  <si>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</si>
  <si>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</si>
  <si>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</si>
  <si>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</si>
  <si>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</si>
  <si>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</si>
  <si>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</si>
  <si>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</si>
  <si>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</si>
  <si>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</si>
  <si>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</si>
  <si>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</si>
  <si>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</si>
  <si>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</si>
  <si>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</si>
  <si>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</si>
  <si>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</si>
  <si>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</si>
  <si>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</si>
  <si>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</si>
  <si>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</si>
  <si>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</si>
  <si>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</si>
  <si>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</si>
  <si>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</si>
  <si>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</si>
  <si>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</si>
  <si>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</si>
  <si>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</si>
  <si>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</si>
  <si>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</si>
  <si>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</si>
  <si>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</si>
  <si>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</si>
  <si>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</si>
  <si>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</si>
  <si>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</si>
  <si>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</si>
  <si>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</si>
  <si>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</si>
  <si>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</si>
  <si>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</si>
  <si>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</si>
  <si>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</si>
  <si>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</si>
  <si>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</si>
  <si>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</si>
  <si>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</si>
  <si>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</si>
  <si>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</si>
  <si>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</si>
  <si>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</si>
  <si>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</si>
  <si>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</si>
  <si>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</si>
  <si>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</si>
  <si>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</si>
  <si>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</si>
  <si>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</si>
  <si>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</si>
  <si>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</si>
  <si>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</si>
  <si>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</si>
  <si>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</si>
  <si>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</si>
  <si>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</si>
  <si>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</si>
  <si>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</si>
  <si>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</si>
  <si>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</si>
  <si>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</si>
  <si>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</si>
  <si>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</si>
  <si>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</si>
  <si>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</si>
  <si>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</si>
  <si>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</si>
  <si>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</si>
  <si>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</si>
  <si>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</si>
  <si>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</si>
  <si>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</si>
  <si>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</si>
  <si>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</si>
  <si>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</si>
  <si>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</si>
  <si>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</si>
  <si>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</si>
  <si>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</si>
  <si>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</si>
  <si>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</si>
  <si>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</si>
  <si>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</si>
  <si>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</si>
  <si>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</si>
  <si>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</si>
  <si>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</si>
  <si>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</si>
  <si>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</si>
  <si>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</si>
  <si>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</si>
  <si>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</si>
  <si>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</si>
  <si>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</si>
  <si>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</si>
  <si>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</si>
  <si>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</si>
  <si>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</si>
  <si>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</si>
  <si>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</si>
  <si>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</si>
  <si>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</si>
  <si>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</si>
  <si>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</si>
  <si>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</si>
  <si>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</si>
  <si>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</si>
  <si>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</si>
  <si>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</si>
  <si>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</si>
  <si>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</si>
  <si>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</si>
  <si>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</si>
  <si>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</si>
  <si>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</si>
  <si>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</si>
  <si>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</si>
  <si>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</si>
  <si>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</si>
  <si>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</si>
  <si>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</si>
  <si>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</si>
  <si>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</si>
  <si>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</si>
  <si>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</si>
  <si>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</si>
  <si>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</si>
  <si>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</si>
  <si>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</si>
  <si>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</si>
  <si>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</si>
  <si>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</si>
  <si>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</si>
  <si>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</si>
  <si>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</si>
  <si>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</si>
  <si>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</si>
  <si>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</si>
  <si>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Jan</t>
  </si>
  <si>
    <t>Feb</t>
  </si>
  <si>
    <t>Mar</t>
  </si>
  <si>
    <t>May</t>
  </si>
  <si>
    <t>Sep</t>
  </si>
  <si>
    <t>Oct</t>
  </si>
  <si>
    <t>Nov</t>
  </si>
  <si>
    <t>Dec</t>
  </si>
  <si>
    <t>Apr</t>
  </si>
  <si>
    <t>Jun</t>
  </si>
  <si>
    <t>Jul</t>
  </si>
  <si>
    <t>Aug</t>
  </si>
  <si>
    <t>Average lead  time in days</t>
  </si>
  <si>
    <t>Standard Cost</t>
  </si>
  <si>
    <t>Ordering Frequiency/Month</t>
  </si>
  <si>
    <t>Items</t>
  </si>
  <si>
    <t>Yearly Demand</t>
  </si>
  <si>
    <t>Avg Monthly Demand</t>
  </si>
  <si>
    <t>Avg Daily Demand</t>
  </si>
  <si>
    <t>Std of Monthly demand</t>
  </si>
  <si>
    <t>Avg Lead time in months</t>
  </si>
  <si>
    <t>Service Level Factor(z)</t>
  </si>
  <si>
    <t>Safety Stock</t>
  </si>
  <si>
    <t>12 Months Sales/Demand</t>
  </si>
  <si>
    <t>Expected Service Leve</t>
  </si>
  <si>
    <t>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</si>
</sst>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3" xfId="0" applyBorder="1"/>
    <xf numFmtId="0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1" applyNumberFormat="1" applyFont="1" applyBorder="1"/>
    <xf numFmtId="0" fontId="0" fillId="0" borderId="7" xfId="0" applyBorder="1"/>
    <xf numFmtId="0" fontId="0" fillId="0" borderId="0" xfId="0" applyAlignment="1">
      <alignment horizontal="center" wrapText="1"/>
    </xf>
    <xf numFmtId="1" fontId="0" fillId="0" borderId="0" xfId="0" applyNumberFormat="1"/>
    <xf numFmtId="2" fontId="0" fillId="0" borderId="0" xfId="0" applyNumberFormat="1"/>
    <xf numFmtId="9" fontId="0" fillId="0" borderId="0" xfId="1" applyFont="1"/>
    <xf numFmtId="0" fontId="4" fillId="2" borderId="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4" fillId="2" borderId="9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1" fillId="2" borderId="6" xfId="0" applyFont="1" applyFill="1" applyBorder="1"/>
    <xf numFmtId="0" fontId="4" fillId="2" borderId="10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D2F5-6D4B-4E22-A41C-9434CE30DD89}">
  <dimension ref="A1:Z202"/>
  <sheetViews>
    <sheetView tabSelected="1" topLeftCell="I1" workbookViewId="0">
      <selection activeCell="T2" sqref="T2:T4"/>
    </sheetView>
  </sheetViews>
  <sheetFormatPr defaultRowHeight="15" x14ac:dyDescent="0.25"/>
  <cols>
    <col min="2" max="2" width="12.42578125" customWidth="1"/>
    <col min="15" max="15" width="14.140625" customWidth="1"/>
    <col min="16" max="16" width="14.85546875" customWidth="1"/>
    <col min="18" max="18" width="14.42578125" customWidth="1"/>
  </cols>
  <sheetData>
    <row r="1" spans="1:26" ht="15.75" thickBot="1" x14ac:dyDescent="0.3"/>
    <row r="2" spans="1:26" ht="15" customHeight="1" x14ac:dyDescent="0.25">
      <c r="A2" s="13" t="s">
        <v>213</v>
      </c>
      <c r="B2" s="14" t="s">
        <v>210</v>
      </c>
      <c r="C2" s="15" t="s">
        <v>221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4" t="s">
        <v>222</v>
      </c>
      <c r="P2" s="14" t="s">
        <v>212</v>
      </c>
      <c r="Q2" s="14" t="s">
        <v>211</v>
      </c>
      <c r="S2" s="25" t="s">
        <v>214</v>
      </c>
      <c r="T2" s="25" t="s">
        <v>215</v>
      </c>
      <c r="U2" s="25" t="s">
        <v>216</v>
      </c>
      <c r="V2" s="25" t="s">
        <v>217</v>
      </c>
      <c r="W2" s="25" t="s">
        <v>218</v>
      </c>
      <c r="X2" s="25" t="s">
        <v>219</v>
      </c>
      <c r="Y2" s="25" t="s">
        <v>220</v>
      </c>
      <c r="Z2" s="25" t="s">
        <v>223</v>
      </c>
    </row>
    <row r="3" spans="1:26" ht="15.75" thickBot="1" x14ac:dyDescent="0.3">
      <c r="A3" s="17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8"/>
      <c r="P3" s="20"/>
      <c r="Q3" s="18"/>
      <c r="R3" s="1"/>
      <c r="S3" s="26"/>
      <c r="T3" s="26"/>
      <c r="U3" s="26"/>
      <c r="V3" s="26"/>
      <c r="W3" s="26"/>
      <c r="X3" s="26"/>
      <c r="Y3" s="26"/>
      <c r="Z3" s="26"/>
    </row>
    <row r="4" spans="1:26" ht="15.75" thickBot="1" x14ac:dyDescent="0.3">
      <c r="A4" s="21"/>
      <c r="B4" s="22"/>
      <c r="C4" s="23" t="s">
        <v>198</v>
      </c>
      <c r="D4" s="23" t="s">
        <v>199</v>
      </c>
      <c r="E4" s="23" t="s">
        <v>200</v>
      </c>
      <c r="F4" s="23" t="s">
        <v>206</v>
      </c>
      <c r="G4" s="23" t="s">
        <v>201</v>
      </c>
      <c r="H4" s="23" t="s">
        <v>207</v>
      </c>
      <c r="I4" s="23" t="s">
        <v>208</v>
      </c>
      <c r="J4" s="23" t="s">
        <v>209</v>
      </c>
      <c r="K4" s="23" t="s">
        <v>202</v>
      </c>
      <c r="L4" s="23" t="s">
        <v>203</v>
      </c>
      <c r="M4" s="23" t="s">
        <v>204</v>
      </c>
      <c r="N4" s="23" t="s">
        <v>205</v>
      </c>
      <c r="O4" s="22"/>
      <c r="P4" s="24"/>
      <c r="Q4" s="22"/>
      <c r="R4" s="9"/>
      <c r="S4" s="27"/>
      <c r="T4" s="27"/>
      <c r="U4" s="27"/>
      <c r="V4" s="27"/>
      <c r="W4" s="27"/>
      <c r="X4" s="27"/>
      <c r="Y4" s="27"/>
      <c r="Z4" s="27"/>
    </row>
    <row r="5" spans="1:26" x14ac:dyDescent="0.25">
      <c r="A5" s="2" t="s">
        <v>0</v>
      </c>
      <c r="B5">
        <v>29</v>
      </c>
      <c r="C5">
        <v>568</v>
      </c>
      <c r="D5">
        <v>560</v>
      </c>
      <c r="E5">
        <v>425</v>
      </c>
      <c r="F5">
        <v>270</v>
      </c>
      <c r="G5">
        <v>363</v>
      </c>
      <c r="H5">
        <v>847</v>
      </c>
      <c r="I5">
        <v>277</v>
      </c>
      <c r="J5">
        <v>289</v>
      </c>
      <c r="K5">
        <v>219</v>
      </c>
      <c r="L5">
        <v>891</v>
      </c>
      <c r="M5">
        <v>581</v>
      </c>
      <c r="N5">
        <v>440</v>
      </c>
      <c r="O5" s="12">
        <v>0.96452781967402779</v>
      </c>
      <c r="P5" s="3">
        <v>2</v>
      </c>
      <c r="Q5" s="4">
        <v>165</v>
      </c>
      <c r="S5">
        <f t="shared" ref="S5:S36" si="0">SUM(C5:N5)</f>
        <v>5730</v>
      </c>
      <c r="T5" s="10">
        <f>AVERAGE(C5:N5)</f>
        <v>477.5</v>
      </c>
      <c r="U5" s="10">
        <f>T5/30</f>
        <v>15.916666666666666</v>
      </c>
      <c r="V5" s="10">
        <f>STDEV(C5:N5)</f>
        <v>220.76416870003652</v>
      </c>
      <c r="W5" s="11">
        <f>B5/30</f>
        <v>0.96666666666666667</v>
      </c>
      <c r="X5" s="11">
        <f>NORMSINV(O5)</f>
        <v>1.8058334382501211</v>
      </c>
      <c r="Y5" s="10">
        <f>X5*V5*SQRT(W5)</f>
        <v>391.96261675313423</v>
      </c>
      <c r="Z5" s="10">
        <f>U5*B5+Y5</f>
        <v>853.54595008646754</v>
      </c>
    </row>
    <row r="6" spans="1:26" x14ac:dyDescent="0.25">
      <c r="A6" s="2" t="s">
        <v>1</v>
      </c>
      <c r="B6">
        <v>22</v>
      </c>
      <c r="C6">
        <v>872</v>
      </c>
      <c r="D6">
        <v>367</v>
      </c>
      <c r="E6">
        <v>683</v>
      </c>
      <c r="F6">
        <v>397</v>
      </c>
      <c r="G6">
        <v>333</v>
      </c>
      <c r="H6">
        <v>675</v>
      </c>
      <c r="I6">
        <v>801</v>
      </c>
      <c r="J6">
        <v>771</v>
      </c>
      <c r="K6">
        <v>275</v>
      </c>
      <c r="L6">
        <v>732</v>
      </c>
      <c r="M6">
        <v>629</v>
      </c>
      <c r="N6">
        <v>220</v>
      </c>
      <c r="O6" s="12">
        <v>0.96925602909658071</v>
      </c>
      <c r="P6" s="3">
        <v>4</v>
      </c>
      <c r="Q6" s="4">
        <v>277</v>
      </c>
      <c r="S6">
        <f t="shared" si="0"/>
        <v>6755</v>
      </c>
      <c r="T6" s="10">
        <f t="shared" ref="T6:T69" si="1">AVERAGE(C6:N6)</f>
        <v>562.91666666666663</v>
      </c>
      <c r="U6" s="10">
        <f t="shared" ref="U6:U69" si="2">T6/30</f>
        <v>18.763888888888889</v>
      </c>
      <c r="V6" s="10">
        <f t="shared" ref="V6:V69" si="3">STDEV(C6:N6)</f>
        <v>228.57561244818004</v>
      </c>
      <c r="W6" s="11">
        <f t="shared" ref="W6:W69" si="4">B6/30</f>
        <v>0.73333333333333328</v>
      </c>
      <c r="X6" s="11">
        <f t="shared" ref="X6:X69" si="5">NORMSINV(O6)</f>
        <v>1.8699703036387667</v>
      </c>
      <c r="Y6" s="10">
        <f t="shared" ref="Y6:Y69" si="6">X6*V6*SQRT(W6)</f>
        <v>366.02884788281068</v>
      </c>
      <c r="Z6" s="10">
        <f t="shared" ref="Z6:Z69" si="7">U6*B6+Y6</f>
        <v>778.83440343836628</v>
      </c>
    </row>
    <row r="7" spans="1:26" x14ac:dyDescent="0.25">
      <c r="A7" s="2" t="s">
        <v>2</v>
      </c>
      <c r="B7">
        <v>21</v>
      </c>
      <c r="C7">
        <v>845</v>
      </c>
      <c r="D7">
        <v>784</v>
      </c>
      <c r="E7">
        <v>700</v>
      </c>
      <c r="F7">
        <v>701</v>
      </c>
      <c r="G7">
        <v>571</v>
      </c>
      <c r="H7">
        <v>792</v>
      </c>
      <c r="I7">
        <v>230</v>
      </c>
      <c r="J7">
        <v>571</v>
      </c>
      <c r="K7">
        <v>887</v>
      </c>
      <c r="L7">
        <v>836</v>
      </c>
      <c r="M7">
        <v>232</v>
      </c>
      <c r="N7">
        <v>272</v>
      </c>
      <c r="O7" s="12">
        <v>0.96961563625906177</v>
      </c>
      <c r="P7" s="3">
        <v>4</v>
      </c>
      <c r="Q7" s="4">
        <v>216</v>
      </c>
      <c r="S7">
        <f t="shared" si="0"/>
        <v>7421</v>
      </c>
      <c r="T7" s="10">
        <f t="shared" si="1"/>
        <v>618.41666666666663</v>
      </c>
      <c r="U7" s="10">
        <f t="shared" si="2"/>
        <v>20.613888888888887</v>
      </c>
      <c r="V7" s="10">
        <f t="shared" si="3"/>
        <v>246.15791617774499</v>
      </c>
      <c r="W7" s="11">
        <f t="shared" si="4"/>
        <v>0.7</v>
      </c>
      <c r="X7" s="11">
        <f t="shared" si="5"/>
        <v>1.8751744532121017</v>
      </c>
      <c r="Y7" s="10">
        <f t="shared" si="6"/>
        <v>386.19309500086842</v>
      </c>
      <c r="Z7" s="10">
        <f t="shared" si="7"/>
        <v>819.08476166753508</v>
      </c>
    </row>
    <row r="8" spans="1:26" x14ac:dyDescent="0.25">
      <c r="A8" s="2" t="s">
        <v>3</v>
      </c>
      <c r="B8">
        <v>29</v>
      </c>
      <c r="C8">
        <v>729</v>
      </c>
      <c r="D8">
        <v>419</v>
      </c>
      <c r="E8">
        <v>726</v>
      </c>
      <c r="F8">
        <v>332</v>
      </c>
      <c r="G8">
        <v>703</v>
      </c>
      <c r="H8">
        <v>450</v>
      </c>
      <c r="I8">
        <v>530</v>
      </c>
      <c r="J8">
        <v>569</v>
      </c>
      <c r="K8">
        <v>552</v>
      </c>
      <c r="L8">
        <v>326</v>
      </c>
      <c r="M8">
        <v>707</v>
      </c>
      <c r="N8">
        <v>849</v>
      </c>
      <c r="O8" s="12">
        <v>0.96787227074876703</v>
      </c>
      <c r="P8" s="3">
        <v>2</v>
      </c>
      <c r="Q8" s="4">
        <v>262</v>
      </c>
      <c r="S8">
        <f t="shared" si="0"/>
        <v>6892</v>
      </c>
      <c r="T8" s="10">
        <f t="shared" si="1"/>
        <v>574.33333333333337</v>
      </c>
      <c r="U8" s="10">
        <f t="shared" si="2"/>
        <v>19.144444444444446</v>
      </c>
      <c r="V8" s="10">
        <f t="shared" si="3"/>
        <v>170.29297392933438</v>
      </c>
      <c r="W8" s="11">
        <f t="shared" si="4"/>
        <v>0.96666666666666667</v>
      </c>
      <c r="X8" s="11">
        <f t="shared" si="5"/>
        <v>1.8504031975291997</v>
      </c>
      <c r="Y8" s="10">
        <f t="shared" si="6"/>
        <v>309.81430873158507</v>
      </c>
      <c r="Z8" s="10">
        <f t="shared" si="7"/>
        <v>865.00319762047388</v>
      </c>
    </row>
    <row r="9" spans="1:26" x14ac:dyDescent="0.25">
      <c r="A9" s="2" t="s">
        <v>4</v>
      </c>
      <c r="B9">
        <v>27</v>
      </c>
      <c r="C9">
        <v>246</v>
      </c>
      <c r="D9">
        <v>742</v>
      </c>
      <c r="E9">
        <v>437</v>
      </c>
      <c r="F9">
        <v>591</v>
      </c>
      <c r="G9">
        <v>378</v>
      </c>
      <c r="H9">
        <v>330</v>
      </c>
      <c r="I9">
        <v>631</v>
      </c>
      <c r="J9">
        <v>439</v>
      </c>
      <c r="K9">
        <v>732</v>
      </c>
      <c r="L9">
        <v>543</v>
      </c>
      <c r="M9">
        <v>814</v>
      </c>
      <c r="N9">
        <v>211</v>
      </c>
      <c r="O9" s="12">
        <v>0.97758122583561424</v>
      </c>
      <c r="P9" s="3">
        <v>3</v>
      </c>
      <c r="Q9" s="4">
        <v>267</v>
      </c>
      <c r="S9">
        <f t="shared" si="0"/>
        <v>6094</v>
      </c>
      <c r="T9" s="10">
        <f t="shared" si="1"/>
        <v>507.83333333333331</v>
      </c>
      <c r="U9" s="10">
        <f t="shared" si="2"/>
        <v>16.927777777777777</v>
      </c>
      <c r="V9" s="10">
        <f t="shared" si="3"/>
        <v>199.32834188541244</v>
      </c>
      <c r="W9" s="11">
        <f t="shared" si="4"/>
        <v>0.9</v>
      </c>
      <c r="X9" s="11">
        <f t="shared" si="5"/>
        <v>2.0061752986310011</v>
      </c>
      <c r="Y9" s="10">
        <f t="shared" si="6"/>
        <v>379.36668324023492</v>
      </c>
      <c r="Z9" s="10">
        <f t="shared" si="7"/>
        <v>836.41668324023487</v>
      </c>
    </row>
    <row r="10" spans="1:26" x14ac:dyDescent="0.25">
      <c r="A10" s="2" t="s">
        <v>5</v>
      </c>
      <c r="B10">
        <v>23</v>
      </c>
      <c r="C10">
        <v>323</v>
      </c>
      <c r="D10">
        <v>624</v>
      </c>
      <c r="E10">
        <v>655</v>
      </c>
      <c r="F10">
        <v>700</v>
      </c>
      <c r="G10">
        <v>731</v>
      </c>
      <c r="H10">
        <v>398</v>
      </c>
      <c r="I10">
        <v>766</v>
      </c>
      <c r="J10">
        <v>792</v>
      </c>
      <c r="K10">
        <v>448</v>
      </c>
      <c r="L10">
        <v>819</v>
      </c>
      <c r="M10">
        <v>252</v>
      </c>
      <c r="N10">
        <v>606</v>
      </c>
      <c r="O10" s="12">
        <v>0.9639388055786372</v>
      </c>
      <c r="P10" s="3">
        <v>2</v>
      </c>
      <c r="Q10" s="4">
        <v>229</v>
      </c>
      <c r="S10">
        <f t="shared" si="0"/>
        <v>7114</v>
      </c>
      <c r="T10" s="10">
        <f t="shared" si="1"/>
        <v>592.83333333333337</v>
      </c>
      <c r="U10" s="10">
        <f t="shared" si="2"/>
        <v>19.761111111111113</v>
      </c>
      <c r="V10" s="10">
        <f t="shared" si="3"/>
        <v>191.7156195720078</v>
      </c>
      <c r="W10" s="11">
        <f t="shared" si="4"/>
        <v>0.76666666666666672</v>
      </c>
      <c r="X10" s="11">
        <f t="shared" si="5"/>
        <v>1.7983447721680053</v>
      </c>
      <c r="Y10" s="10">
        <f t="shared" si="6"/>
        <v>301.87958537341143</v>
      </c>
      <c r="Z10" s="10">
        <f t="shared" si="7"/>
        <v>756.38514092896708</v>
      </c>
    </row>
    <row r="11" spans="1:26" x14ac:dyDescent="0.25">
      <c r="A11" s="2" t="s">
        <v>6</v>
      </c>
      <c r="B11">
        <v>21</v>
      </c>
      <c r="C11">
        <v>829</v>
      </c>
      <c r="D11">
        <v>497</v>
      </c>
      <c r="E11">
        <v>694</v>
      </c>
      <c r="F11">
        <v>794</v>
      </c>
      <c r="G11">
        <v>261</v>
      </c>
      <c r="H11">
        <v>807</v>
      </c>
      <c r="I11">
        <v>573</v>
      </c>
      <c r="J11">
        <v>855</v>
      </c>
      <c r="K11">
        <v>825</v>
      </c>
      <c r="L11">
        <v>864</v>
      </c>
      <c r="M11">
        <v>567</v>
      </c>
      <c r="N11">
        <v>641</v>
      </c>
      <c r="O11" s="12">
        <v>0.96360036772868107</v>
      </c>
      <c r="P11" s="3">
        <v>4</v>
      </c>
      <c r="Q11" s="4">
        <v>232</v>
      </c>
      <c r="S11">
        <f t="shared" si="0"/>
        <v>8207</v>
      </c>
      <c r="T11" s="10">
        <f t="shared" si="1"/>
        <v>683.91666666666663</v>
      </c>
      <c r="U11" s="10">
        <f t="shared" si="2"/>
        <v>22.797222222222221</v>
      </c>
      <c r="V11" s="10">
        <f t="shared" si="3"/>
        <v>183.80644876081098</v>
      </c>
      <c r="W11" s="11">
        <f t="shared" si="4"/>
        <v>0.7</v>
      </c>
      <c r="X11" s="11">
        <f t="shared" si="5"/>
        <v>1.7940871198633124</v>
      </c>
      <c r="Y11" s="10">
        <f t="shared" si="6"/>
        <v>275.9010114836762</v>
      </c>
      <c r="Z11" s="10">
        <f t="shared" si="7"/>
        <v>754.64267815034282</v>
      </c>
    </row>
    <row r="12" spans="1:26" x14ac:dyDescent="0.25">
      <c r="A12" s="2" t="s">
        <v>7</v>
      </c>
      <c r="B12">
        <v>28</v>
      </c>
      <c r="C12">
        <v>255</v>
      </c>
      <c r="D12">
        <v>485</v>
      </c>
      <c r="E12">
        <v>684</v>
      </c>
      <c r="F12">
        <v>237</v>
      </c>
      <c r="G12">
        <v>217</v>
      </c>
      <c r="H12">
        <v>410</v>
      </c>
      <c r="I12">
        <v>885</v>
      </c>
      <c r="J12">
        <v>548</v>
      </c>
      <c r="K12">
        <v>270</v>
      </c>
      <c r="L12">
        <v>634</v>
      </c>
      <c r="M12">
        <v>847</v>
      </c>
      <c r="N12">
        <v>304</v>
      </c>
      <c r="O12" s="12">
        <v>0.97035707705741936</v>
      </c>
      <c r="P12" s="3">
        <v>2</v>
      </c>
      <c r="Q12" s="4">
        <v>259</v>
      </c>
      <c r="S12">
        <f t="shared" si="0"/>
        <v>5776</v>
      </c>
      <c r="T12" s="10">
        <f t="shared" si="1"/>
        <v>481.33333333333331</v>
      </c>
      <c r="U12" s="10">
        <f t="shared" si="2"/>
        <v>16.044444444444444</v>
      </c>
      <c r="V12" s="10">
        <f t="shared" si="3"/>
        <v>238.84050719839772</v>
      </c>
      <c r="W12" s="11">
        <f t="shared" si="4"/>
        <v>0.93333333333333335</v>
      </c>
      <c r="X12" s="11">
        <f t="shared" si="5"/>
        <v>1.8860675988626243</v>
      </c>
      <c r="Y12" s="10">
        <f t="shared" si="6"/>
        <v>435.19472976076776</v>
      </c>
      <c r="Z12" s="10">
        <f t="shared" si="7"/>
        <v>884.43917420521211</v>
      </c>
    </row>
    <row r="13" spans="1:26" x14ac:dyDescent="0.25">
      <c r="A13" s="2" t="s">
        <v>8</v>
      </c>
      <c r="B13">
        <v>20</v>
      </c>
      <c r="C13">
        <v>388</v>
      </c>
      <c r="D13">
        <v>267</v>
      </c>
      <c r="E13">
        <v>224</v>
      </c>
      <c r="F13">
        <v>544</v>
      </c>
      <c r="G13">
        <v>487</v>
      </c>
      <c r="H13">
        <v>701</v>
      </c>
      <c r="I13">
        <v>262</v>
      </c>
      <c r="J13">
        <v>395</v>
      </c>
      <c r="K13">
        <v>471</v>
      </c>
      <c r="L13">
        <v>654</v>
      </c>
      <c r="M13">
        <v>614</v>
      </c>
      <c r="N13">
        <v>306</v>
      </c>
      <c r="O13" s="12">
        <v>0.95291709034160765</v>
      </c>
      <c r="P13" s="3">
        <v>1</v>
      </c>
      <c r="Q13" s="4">
        <v>276</v>
      </c>
      <c r="S13">
        <f t="shared" si="0"/>
        <v>5313</v>
      </c>
      <c r="T13" s="10">
        <f t="shared" si="1"/>
        <v>442.75</v>
      </c>
      <c r="U13" s="10">
        <f t="shared" si="2"/>
        <v>14.758333333333333</v>
      </c>
      <c r="V13" s="10">
        <f t="shared" si="3"/>
        <v>162.10048791357224</v>
      </c>
      <c r="W13" s="11">
        <f t="shared" si="4"/>
        <v>0.66666666666666663</v>
      </c>
      <c r="X13" s="11">
        <f t="shared" si="5"/>
        <v>1.6738208197166848</v>
      </c>
      <c r="Y13" s="10">
        <f t="shared" si="6"/>
        <v>221.53770788824011</v>
      </c>
      <c r="Z13" s="10">
        <f t="shared" si="7"/>
        <v>516.70437455490674</v>
      </c>
    </row>
    <row r="14" spans="1:26" x14ac:dyDescent="0.25">
      <c r="A14" s="2" t="s">
        <v>9</v>
      </c>
      <c r="B14">
        <v>27</v>
      </c>
      <c r="C14">
        <v>446</v>
      </c>
      <c r="D14">
        <v>356</v>
      </c>
      <c r="E14">
        <v>765</v>
      </c>
      <c r="F14">
        <v>547</v>
      </c>
      <c r="G14">
        <v>316</v>
      </c>
      <c r="H14">
        <v>256</v>
      </c>
      <c r="I14">
        <v>306</v>
      </c>
      <c r="J14">
        <v>257</v>
      </c>
      <c r="K14">
        <v>761</v>
      </c>
      <c r="L14">
        <v>483</v>
      </c>
      <c r="M14">
        <v>246</v>
      </c>
      <c r="N14">
        <v>210</v>
      </c>
      <c r="O14" s="12">
        <v>0.95178000152945208</v>
      </c>
      <c r="P14" s="3">
        <v>1</v>
      </c>
      <c r="Q14" s="4">
        <v>238</v>
      </c>
      <c r="S14">
        <f t="shared" si="0"/>
        <v>4949</v>
      </c>
      <c r="T14" s="10">
        <f t="shared" si="1"/>
        <v>412.41666666666669</v>
      </c>
      <c r="U14" s="10">
        <f t="shared" si="2"/>
        <v>13.747222222222224</v>
      </c>
      <c r="V14" s="10">
        <f t="shared" si="3"/>
        <v>193.32942132928233</v>
      </c>
      <c r="W14" s="11">
        <f t="shared" si="4"/>
        <v>0.9</v>
      </c>
      <c r="X14" s="11">
        <f t="shared" si="5"/>
        <v>1.6623630797422819</v>
      </c>
      <c r="Y14" s="10">
        <f t="shared" si="6"/>
        <v>304.891341099339</v>
      </c>
      <c r="Z14" s="10">
        <f t="shared" si="7"/>
        <v>676.06634109933907</v>
      </c>
    </row>
    <row r="15" spans="1:26" x14ac:dyDescent="0.25">
      <c r="A15" s="2" t="s">
        <v>10</v>
      </c>
      <c r="B15">
        <v>28</v>
      </c>
      <c r="C15">
        <v>595</v>
      </c>
      <c r="D15">
        <v>607</v>
      </c>
      <c r="E15">
        <v>747</v>
      </c>
      <c r="F15">
        <v>521</v>
      </c>
      <c r="G15">
        <v>414</v>
      </c>
      <c r="H15">
        <v>424</v>
      </c>
      <c r="I15">
        <v>239</v>
      </c>
      <c r="J15">
        <v>679</v>
      </c>
      <c r="K15">
        <v>588</v>
      </c>
      <c r="L15">
        <v>345</v>
      </c>
      <c r="M15">
        <v>243</v>
      </c>
      <c r="N15">
        <v>850</v>
      </c>
      <c r="O15" s="12">
        <v>0.97489598334695426</v>
      </c>
      <c r="P15" s="3">
        <v>1</v>
      </c>
      <c r="Q15" s="4">
        <v>233</v>
      </c>
      <c r="S15">
        <f t="shared" si="0"/>
        <v>6252</v>
      </c>
      <c r="T15" s="10">
        <f t="shared" si="1"/>
        <v>521</v>
      </c>
      <c r="U15" s="10">
        <f t="shared" si="2"/>
        <v>17.366666666666667</v>
      </c>
      <c r="V15" s="10">
        <f t="shared" si="3"/>
        <v>193.12831344612695</v>
      </c>
      <c r="W15" s="11">
        <f t="shared" si="4"/>
        <v>0.93333333333333335</v>
      </c>
      <c r="X15" s="11">
        <f t="shared" si="5"/>
        <v>1.9581873468768527</v>
      </c>
      <c r="Y15" s="10">
        <f t="shared" si="6"/>
        <v>365.35796209883466</v>
      </c>
      <c r="Z15" s="10">
        <f t="shared" si="7"/>
        <v>851.62462876550126</v>
      </c>
    </row>
    <row r="16" spans="1:26" x14ac:dyDescent="0.25">
      <c r="A16" s="2" t="s">
        <v>11</v>
      </c>
      <c r="B16">
        <v>25</v>
      </c>
      <c r="C16">
        <v>607</v>
      </c>
      <c r="D16">
        <v>493</v>
      </c>
      <c r="E16">
        <v>639</v>
      </c>
      <c r="F16">
        <v>698</v>
      </c>
      <c r="G16">
        <v>834</v>
      </c>
      <c r="H16">
        <v>686</v>
      </c>
      <c r="I16">
        <v>799</v>
      </c>
      <c r="J16">
        <v>204</v>
      </c>
      <c r="K16">
        <v>438</v>
      </c>
      <c r="L16">
        <v>481</v>
      </c>
      <c r="M16">
        <v>730</v>
      </c>
      <c r="N16">
        <v>705</v>
      </c>
      <c r="O16" s="12">
        <v>0.97845179534612992</v>
      </c>
      <c r="P16" s="3">
        <v>1</v>
      </c>
      <c r="Q16" s="4">
        <v>235</v>
      </c>
      <c r="S16">
        <f t="shared" si="0"/>
        <v>7314</v>
      </c>
      <c r="T16" s="10">
        <f t="shared" si="1"/>
        <v>609.5</v>
      </c>
      <c r="U16" s="10">
        <f t="shared" si="2"/>
        <v>20.316666666666666</v>
      </c>
      <c r="V16" s="10">
        <f t="shared" si="3"/>
        <v>177.97829285413636</v>
      </c>
      <c r="W16" s="11">
        <f t="shared" si="4"/>
        <v>0.83333333333333337</v>
      </c>
      <c r="X16" s="11">
        <f t="shared" si="5"/>
        <v>2.0227744279143964</v>
      </c>
      <c r="Y16" s="10">
        <f t="shared" si="6"/>
        <v>328.64260799210462</v>
      </c>
      <c r="Z16" s="10">
        <f t="shared" si="7"/>
        <v>836.5592746587713</v>
      </c>
    </row>
    <row r="17" spans="1:26" x14ac:dyDescent="0.25">
      <c r="A17" s="2" t="s">
        <v>12</v>
      </c>
      <c r="B17">
        <v>29</v>
      </c>
      <c r="C17">
        <v>423</v>
      </c>
      <c r="D17">
        <v>552</v>
      </c>
      <c r="E17">
        <v>432</v>
      </c>
      <c r="F17">
        <v>412</v>
      </c>
      <c r="G17">
        <v>367</v>
      </c>
      <c r="H17">
        <v>516</v>
      </c>
      <c r="I17">
        <v>533</v>
      </c>
      <c r="J17">
        <v>437</v>
      </c>
      <c r="K17">
        <v>571</v>
      </c>
      <c r="L17">
        <v>375</v>
      </c>
      <c r="M17">
        <v>543</v>
      </c>
      <c r="N17">
        <v>395</v>
      </c>
      <c r="O17" s="12">
        <v>0.96200109444199311</v>
      </c>
      <c r="P17" s="3">
        <v>1</v>
      </c>
      <c r="Q17" s="4">
        <v>295</v>
      </c>
      <c r="S17">
        <f t="shared" si="0"/>
        <v>5556</v>
      </c>
      <c r="T17" s="10">
        <f t="shared" si="1"/>
        <v>463</v>
      </c>
      <c r="U17" s="10">
        <f t="shared" si="2"/>
        <v>15.433333333333334</v>
      </c>
      <c r="V17" s="10">
        <f t="shared" si="3"/>
        <v>74.538580614336894</v>
      </c>
      <c r="W17" s="11">
        <f t="shared" si="4"/>
        <v>0.96666666666666667</v>
      </c>
      <c r="X17" s="11">
        <f t="shared" si="5"/>
        <v>1.7743951525688155</v>
      </c>
      <c r="Y17" s="10">
        <f t="shared" si="6"/>
        <v>130.03786559339017</v>
      </c>
      <c r="Z17" s="10">
        <f t="shared" si="7"/>
        <v>577.60453226005689</v>
      </c>
    </row>
    <row r="18" spans="1:26" x14ac:dyDescent="0.25">
      <c r="A18" s="2" t="s">
        <v>13</v>
      </c>
      <c r="B18">
        <v>19</v>
      </c>
      <c r="C18">
        <v>900</v>
      </c>
      <c r="D18">
        <v>372</v>
      </c>
      <c r="E18">
        <v>900</v>
      </c>
      <c r="F18">
        <v>885</v>
      </c>
      <c r="G18">
        <v>759</v>
      </c>
      <c r="H18">
        <v>867</v>
      </c>
      <c r="I18">
        <v>806</v>
      </c>
      <c r="J18">
        <v>495</v>
      </c>
      <c r="K18">
        <v>517</v>
      </c>
      <c r="L18">
        <v>875</v>
      </c>
      <c r="M18">
        <v>468</v>
      </c>
      <c r="N18">
        <v>362</v>
      </c>
      <c r="O18" s="12">
        <v>0.97298934234676782</v>
      </c>
      <c r="P18" s="3">
        <v>4</v>
      </c>
      <c r="Q18" s="4">
        <v>235</v>
      </c>
      <c r="S18">
        <f t="shared" si="0"/>
        <v>8206</v>
      </c>
      <c r="T18" s="10">
        <f t="shared" si="1"/>
        <v>683.83333333333337</v>
      </c>
      <c r="U18" s="10">
        <f t="shared" si="2"/>
        <v>22.794444444444444</v>
      </c>
      <c r="V18" s="10">
        <f t="shared" si="3"/>
        <v>220.63661335217049</v>
      </c>
      <c r="W18" s="11">
        <f t="shared" si="4"/>
        <v>0.6333333333333333</v>
      </c>
      <c r="X18" s="11">
        <f t="shared" si="5"/>
        <v>1.9266656180407025</v>
      </c>
      <c r="Y18" s="10">
        <f t="shared" si="6"/>
        <v>338.29852414836614</v>
      </c>
      <c r="Z18" s="10">
        <f t="shared" si="7"/>
        <v>771.39296859281058</v>
      </c>
    </row>
    <row r="19" spans="1:26" x14ac:dyDescent="0.25">
      <c r="A19" s="2" t="s">
        <v>14</v>
      </c>
      <c r="B19">
        <v>20</v>
      </c>
      <c r="C19">
        <v>363</v>
      </c>
      <c r="D19">
        <v>862</v>
      </c>
      <c r="E19">
        <v>752</v>
      </c>
      <c r="F19">
        <v>346</v>
      </c>
      <c r="G19">
        <v>273</v>
      </c>
      <c r="H19">
        <v>734</v>
      </c>
      <c r="I19">
        <v>681</v>
      </c>
      <c r="J19">
        <v>793</v>
      </c>
      <c r="K19">
        <v>786</v>
      </c>
      <c r="L19">
        <v>427</v>
      </c>
      <c r="M19">
        <v>330</v>
      </c>
      <c r="N19">
        <v>568</v>
      </c>
      <c r="O19" s="12">
        <v>0.9542397181550536</v>
      </c>
      <c r="P19" s="3">
        <v>2</v>
      </c>
      <c r="Q19" s="4">
        <v>242</v>
      </c>
      <c r="S19">
        <f t="shared" si="0"/>
        <v>6915</v>
      </c>
      <c r="T19" s="10">
        <f t="shared" si="1"/>
        <v>576.25</v>
      </c>
      <c r="U19" s="10">
        <f t="shared" si="2"/>
        <v>19.208333333333332</v>
      </c>
      <c r="V19" s="10">
        <f t="shared" si="3"/>
        <v>215.91417697358784</v>
      </c>
      <c r="W19" s="11">
        <f t="shared" si="4"/>
        <v>0.66666666666666663</v>
      </c>
      <c r="X19" s="11">
        <f t="shared" si="5"/>
        <v>1.6874307059128966</v>
      </c>
      <c r="Y19" s="10">
        <f t="shared" si="6"/>
        <v>297.48253744730522</v>
      </c>
      <c r="Z19" s="10">
        <f t="shared" si="7"/>
        <v>681.64920411397179</v>
      </c>
    </row>
    <row r="20" spans="1:26" x14ac:dyDescent="0.25">
      <c r="A20" s="2" t="s">
        <v>15</v>
      </c>
      <c r="B20">
        <v>26</v>
      </c>
      <c r="C20">
        <v>224</v>
      </c>
      <c r="D20">
        <v>508</v>
      </c>
      <c r="E20">
        <v>515</v>
      </c>
      <c r="F20">
        <v>536</v>
      </c>
      <c r="G20">
        <v>659</v>
      </c>
      <c r="H20">
        <v>373</v>
      </c>
      <c r="I20">
        <v>250</v>
      </c>
      <c r="J20">
        <v>348</v>
      </c>
      <c r="K20">
        <v>623</v>
      </c>
      <c r="L20">
        <v>325</v>
      </c>
      <c r="M20">
        <v>355</v>
      </c>
      <c r="N20">
        <v>352</v>
      </c>
      <c r="O20" s="12">
        <v>0.97717069434805648</v>
      </c>
      <c r="P20" s="3">
        <v>2</v>
      </c>
      <c r="Q20" s="4">
        <v>185</v>
      </c>
      <c r="S20">
        <f t="shared" si="0"/>
        <v>5068</v>
      </c>
      <c r="T20" s="10">
        <f t="shared" si="1"/>
        <v>422.33333333333331</v>
      </c>
      <c r="U20" s="10">
        <f t="shared" si="2"/>
        <v>14.077777777777778</v>
      </c>
      <c r="V20" s="10">
        <f t="shared" si="3"/>
        <v>141.76570513179533</v>
      </c>
      <c r="W20" s="11">
        <f t="shared" si="4"/>
        <v>0.8666666666666667</v>
      </c>
      <c r="X20" s="11">
        <f t="shared" si="5"/>
        <v>1.99853572067125</v>
      </c>
      <c r="Y20" s="10">
        <f t="shared" si="6"/>
        <v>263.76012745355456</v>
      </c>
      <c r="Z20" s="10">
        <f t="shared" si="7"/>
        <v>629.7823496757768</v>
      </c>
    </row>
    <row r="21" spans="1:26" x14ac:dyDescent="0.25">
      <c r="A21" s="2" t="s">
        <v>16</v>
      </c>
      <c r="B21">
        <v>25</v>
      </c>
      <c r="C21">
        <v>521</v>
      </c>
      <c r="D21">
        <v>705</v>
      </c>
      <c r="E21">
        <v>288</v>
      </c>
      <c r="F21">
        <v>746</v>
      </c>
      <c r="G21">
        <v>245</v>
      </c>
      <c r="H21">
        <v>458</v>
      </c>
      <c r="I21">
        <v>664</v>
      </c>
      <c r="J21">
        <v>858</v>
      </c>
      <c r="K21">
        <v>855</v>
      </c>
      <c r="L21">
        <v>568</v>
      </c>
      <c r="M21">
        <v>415</v>
      </c>
      <c r="N21">
        <v>311</v>
      </c>
      <c r="O21" s="12">
        <v>0.9591322922547455</v>
      </c>
      <c r="P21" s="3">
        <v>2</v>
      </c>
      <c r="Q21" s="4">
        <v>295</v>
      </c>
      <c r="S21">
        <f t="shared" si="0"/>
        <v>6634</v>
      </c>
      <c r="T21" s="10">
        <f t="shared" si="1"/>
        <v>552.83333333333337</v>
      </c>
      <c r="U21" s="10">
        <f t="shared" si="2"/>
        <v>18.427777777777781</v>
      </c>
      <c r="V21" s="10">
        <f t="shared" si="3"/>
        <v>215.29549813024772</v>
      </c>
      <c r="W21" s="11">
        <f t="shared" si="4"/>
        <v>0.83333333333333337</v>
      </c>
      <c r="X21" s="11">
        <f t="shared" si="5"/>
        <v>1.7407043494860313</v>
      </c>
      <c r="Y21" s="10">
        <f t="shared" si="6"/>
        <v>342.11281321615928</v>
      </c>
      <c r="Z21" s="10">
        <f t="shared" si="7"/>
        <v>802.8072576606038</v>
      </c>
    </row>
    <row r="22" spans="1:26" x14ac:dyDescent="0.25">
      <c r="A22" s="2" t="s">
        <v>17</v>
      </c>
      <c r="B22">
        <v>29</v>
      </c>
      <c r="C22">
        <v>255</v>
      </c>
      <c r="D22">
        <v>279</v>
      </c>
      <c r="E22">
        <v>888</v>
      </c>
      <c r="F22">
        <v>446</v>
      </c>
      <c r="G22">
        <v>671</v>
      </c>
      <c r="H22">
        <v>815</v>
      </c>
      <c r="I22">
        <v>810</v>
      </c>
      <c r="J22">
        <v>303</v>
      </c>
      <c r="K22">
        <v>338</v>
      </c>
      <c r="L22">
        <v>639</v>
      </c>
      <c r="M22">
        <v>703</v>
      </c>
      <c r="N22">
        <v>205</v>
      </c>
      <c r="O22" s="12">
        <v>0.96783845566333859</v>
      </c>
      <c r="P22" s="3">
        <v>4</v>
      </c>
      <c r="Q22" s="4">
        <v>160</v>
      </c>
      <c r="S22">
        <f t="shared" si="0"/>
        <v>6352</v>
      </c>
      <c r="T22" s="10">
        <f t="shared" si="1"/>
        <v>529.33333333333337</v>
      </c>
      <c r="U22" s="10">
        <f t="shared" si="2"/>
        <v>17.644444444444446</v>
      </c>
      <c r="V22" s="10">
        <f t="shared" si="3"/>
        <v>250.30429965192849</v>
      </c>
      <c r="W22" s="11">
        <f t="shared" si="4"/>
        <v>0.96666666666666667</v>
      </c>
      <c r="X22" s="11">
        <f t="shared" si="5"/>
        <v>1.8499338200596791</v>
      </c>
      <c r="Y22" s="10">
        <f t="shared" si="6"/>
        <v>455.26354268178932</v>
      </c>
      <c r="Z22" s="10">
        <f t="shared" si="7"/>
        <v>966.9524315706783</v>
      </c>
    </row>
    <row r="23" spans="1:26" x14ac:dyDescent="0.25">
      <c r="A23" s="2" t="s">
        <v>18</v>
      </c>
      <c r="B23">
        <v>28</v>
      </c>
      <c r="C23">
        <v>411</v>
      </c>
      <c r="D23">
        <v>494</v>
      </c>
      <c r="E23">
        <v>693</v>
      </c>
      <c r="F23">
        <v>305</v>
      </c>
      <c r="G23">
        <v>359</v>
      </c>
      <c r="H23">
        <v>877</v>
      </c>
      <c r="I23">
        <v>865</v>
      </c>
      <c r="J23">
        <v>266</v>
      </c>
      <c r="K23">
        <v>769</v>
      </c>
      <c r="L23">
        <v>631</v>
      </c>
      <c r="M23">
        <v>898</v>
      </c>
      <c r="N23">
        <v>735</v>
      </c>
      <c r="O23" s="12">
        <v>0.9547221819683811</v>
      </c>
      <c r="P23" s="3">
        <v>2</v>
      </c>
      <c r="Q23" s="4">
        <v>291</v>
      </c>
      <c r="S23">
        <f t="shared" si="0"/>
        <v>7303</v>
      </c>
      <c r="T23" s="10">
        <f t="shared" si="1"/>
        <v>608.58333333333337</v>
      </c>
      <c r="U23" s="10">
        <f t="shared" si="2"/>
        <v>20.286111111111111</v>
      </c>
      <c r="V23" s="10">
        <f t="shared" si="3"/>
        <v>232.55281250946126</v>
      </c>
      <c r="W23" s="11">
        <f t="shared" si="4"/>
        <v>0.93333333333333335</v>
      </c>
      <c r="X23" s="11">
        <f t="shared" si="5"/>
        <v>1.6924739859569264</v>
      </c>
      <c r="Y23" s="10">
        <f t="shared" si="6"/>
        <v>380.24366448938576</v>
      </c>
      <c r="Z23" s="10">
        <f t="shared" si="7"/>
        <v>948.25477560049694</v>
      </c>
    </row>
    <row r="24" spans="1:26" x14ac:dyDescent="0.25">
      <c r="A24" s="2" t="s">
        <v>19</v>
      </c>
      <c r="B24">
        <v>22</v>
      </c>
      <c r="C24">
        <v>221</v>
      </c>
      <c r="D24">
        <v>856</v>
      </c>
      <c r="E24">
        <v>878</v>
      </c>
      <c r="F24">
        <v>285</v>
      </c>
      <c r="G24">
        <v>376</v>
      </c>
      <c r="H24">
        <v>593</v>
      </c>
      <c r="I24">
        <v>238</v>
      </c>
      <c r="J24">
        <v>338</v>
      </c>
      <c r="K24">
        <v>494</v>
      </c>
      <c r="L24">
        <v>831</v>
      </c>
      <c r="M24">
        <v>652</v>
      </c>
      <c r="N24">
        <v>475</v>
      </c>
      <c r="O24" s="12">
        <v>0.95563011235611139</v>
      </c>
      <c r="P24" s="3">
        <v>4</v>
      </c>
      <c r="Q24" s="4">
        <v>259</v>
      </c>
      <c r="S24">
        <f t="shared" si="0"/>
        <v>6237</v>
      </c>
      <c r="T24" s="10">
        <f t="shared" si="1"/>
        <v>519.75</v>
      </c>
      <c r="U24" s="10">
        <f t="shared" si="2"/>
        <v>17.324999999999999</v>
      </c>
      <c r="V24" s="10">
        <f t="shared" si="3"/>
        <v>241.44343399268868</v>
      </c>
      <c r="W24" s="11">
        <f t="shared" si="4"/>
        <v>0.73333333333333328</v>
      </c>
      <c r="X24" s="11">
        <f t="shared" si="5"/>
        <v>1.7020831864875496</v>
      </c>
      <c r="Y24" s="10">
        <f t="shared" si="6"/>
        <v>351.92238650958404</v>
      </c>
      <c r="Z24" s="10">
        <f t="shared" si="7"/>
        <v>733.07238650958402</v>
      </c>
    </row>
    <row r="25" spans="1:26" x14ac:dyDescent="0.25">
      <c r="A25" s="2" t="s">
        <v>20</v>
      </c>
      <c r="B25">
        <v>24</v>
      </c>
      <c r="C25">
        <v>455</v>
      </c>
      <c r="D25">
        <v>637</v>
      </c>
      <c r="E25">
        <v>787</v>
      </c>
      <c r="F25">
        <v>826</v>
      </c>
      <c r="G25">
        <v>252</v>
      </c>
      <c r="H25">
        <v>267</v>
      </c>
      <c r="I25">
        <v>519</v>
      </c>
      <c r="J25">
        <v>838</v>
      </c>
      <c r="K25">
        <v>785</v>
      </c>
      <c r="L25">
        <v>609</v>
      </c>
      <c r="M25">
        <v>736</v>
      </c>
      <c r="N25">
        <v>724</v>
      </c>
      <c r="O25" s="12">
        <v>0.95979802287669158</v>
      </c>
      <c r="P25" s="3">
        <v>1</v>
      </c>
      <c r="Q25" s="4">
        <v>294</v>
      </c>
      <c r="S25">
        <f t="shared" si="0"/>
        <v>7435</v>
      </c>
      <c r="T25" s="10">
        <f t="shared" si="1"/>
        <v>619.58333333333337</v>
      </c>
      <c r="U25" s="10">
        <f t="shared" si="2"/>
        <v>20.652777777777779</v>
      </c>
      <c r="V25" s="10">
        <f t="shared" si="3"/>
        <v>206.09197343698648</v>
      </c>
      <c r="W25" s="11">
        <f t="shared" si="4"/>
        <v>0.8</v>
      </c>
      <c r="X25" s="11">
        <f t="shared" si="5"/>
        <v>1.7483470295779295</v>
      </c>
      <c r="Y25" s="10">
        <f t="shared" si="6"/>
        <v>322.28026446789249</v>
      </c>
      <c r="Z25" s="10">
        <f t="shared" si="7"/>
        <v>817.94693113455924</v>
      </c>
    </row>
    <row r="26" spans="1:26" x14ac:dyDescent="0.25">
      <c r="A26" s="2" t="s">
        <v>21</v>
      </c>
      <c r="B26">
        <v>26</v>
      </c>
      <c r="C26">
        <v>800</v>
      </c>
      <c r="D26">
        <v>267</v>
      </c>
      <c r="E26">
        <v>631</v>
      </c>
      <c r="F26">
        <v>246</v>
      </c>
      <c r="G26">
        <v>284</v>
      </c>
      <c r="H26">
        <v>715</v>
      </c>
      <c r="I26">
        <v>861</v>
      </c>
      <c r="J26">
        <v>268</v>
      </c>
      <c r="K26">
        <v>444</v>
      </c>
      <c r="L26">
        <v>373</v>
      </c>
      <c r="M26">
        <v>687</v>
      </c>
      <c r="N26">
        <v>248</v>
      </c>
      <c r="O26" s="12">
        <v>0.95815318402542582</v>
      </c>
      <c r="P26" s="3">
        <v>1</v>
      </c>
      <c r="Q26" s="4">
        <v>173</v>
      </c>
      <c r="S26">
        <f t="shared" si="0"/>
        <v>5824</v>
      </c>
      <c r="T26" s="10">
        <f t="shared" si="1"/>
        <v>485.33333333333331</v>
      </c>
      <c r="U26" s="10">
        <f t="shared" si="2"/>
        <v>16.177777777777777</v>
      </c>
      <c r="V26" s="10">
        <f t="shared" si="3"/>
        <v>237.05554904564735</v>
      </c>
      <c r="W26" s="11">
        <f t="shared" si="4"/>
        <v>0.8666666666666667</v>
      </c>
      <c r="X26" s="11">
        <f t="shared" si="5"/>
        <v>1.7296454973849897</v>
      </c>
      <c r="Y26" s="10">
        <f t="shared" si="6"/>
        <v>381.70976743260388</v>
      </c>
      <c r="Z26" s="10">
        <f t="shared" si="7"/>
        <v>802.33198965482609</v>
      </c>
    </row>
    <row r="27" spans="1:26" x14ac:dyDescent="0.25">
      <c r="A27" s="2" t="s">
        <v>22</v>
      </c>
      <c r="B27">
        <v>24</v>
      </c>
      <c r="C27">
        <v>376</v>
      </c>
      <c r="D27">
        <v>685</v>
      </c>
      <c r="E27">
        <v>756</v>
      </c>
      <c r="F27">
        <v>818</v>
      </c>
      <c r="G27">
        <v>201</v>
      </c>
      <c r="H27">
        <v>840</v>
      </c>
      <c r="I27">
        <v>384</v>
      </c>
      <c r="J27">
        <v>743</v>
      </c>
      <c r="K27">
        <v>656</v>
      </c>
      <c r="L27">
        <v>520</v>
      </c>
      <c r="M27">
        <v>747</v>
      </c>
      <c r="N27">
        <v>615</v>
      </c>
      <c r="O27" s="12">
        <v>0.9721526685902917</v>
      </c>
      <c r="P27" s="3">
        <v>2</v>
      </c>
      <c r="Q27" s="4">
        <v>214</v>
      </c>
      <c r="S27">
        <f t="shared" si="0"/>
        <v>7341</v>
      </c>
      <c r="T27" s="10">
        <f t="shared" si="1"/>
        <v>611.75</v>
      </c>
      <c r="U27" s="10">
        <f t="shared" si="2"/>
        <v>20.391666666666666</v>
      </c>
      <c r="V27" s="10">
        <f t="shared" si="3"/>
        <v>200.65353450435632</v>
      </c>
      <c r="W27" s="11">
        <f t="shared" si="4"/>
        <v>0.8</v>
      </c>
      <c r="X27" s="11">
        <f t="shared" si="5"/>
        <v>1.9134172107521992</v>
      </c>
      <c r="Y27" s="10">
        <f t="shared" si="6"/>
        <v>343.40094324697844</v>
      </c>
      <c r="Z27" s="10">
        <f t="shared" si="7"/>
        <v>832.80094324697848</v>
      </c>
    </row>
    <row r="28" spans="1:26" x14ac:dyDescent="0.25">
      <c r="A28" s="2" t="s">
        <v>23</v>
      </c>
      <c r="B28">
        <v>24</v>
      </c>
      <c r="C28">
        <v>243</v>
      </c>
      <c r="D28">
        <v>637</v>
      </c>
      <c r="E28">
        <v>372</v>
      </c>
      <c r="F28">
        <v>369</v>
      </c>
      <c r="G28">
        <v>889</v>
      </c>
      <c r="H28">
        <v>448</v>
      </c>
      <c r="I28">
        <v>384</v>
      </c>
      <c r="J28">
        <v>260</v>
      </c>
      <c r="K28">
        <v>381</v>
      </c>
      <c r="L28">
        <v>482</v>
      </c>
      <c r="M28">
        <v>400</v>
      </c>
      <c r="N28">
        <v>465</v>
      </c>
      <c r="O28" s="12">
        <v>0.96809418514461087</v>
      </c>
      <c r="P28" s="3">
        <v>3</v>
      </c>
      <c r="Q28" s="4">
        <v>164</v>
      </c>
      <c r="S28">
        <f t="shared" si="0"/>
        <v>5330</v>
      </c>
      <c r="T28" s="10">
        <f t="shared" si="1"/>
        <v>444.16666666666669</v>
      </c>
      <c r="U28" s="10">
        <f t="shared" si="2"/>
        <v>14.805555555555555</v>
      </c>
      <c r="V28" s="10">
        <f t="shared" si="3"/>
        <v>173.66259519452356</v>
      </c>
      <c r="W28" s="11">
        <f t="shared" si="4"/>
        <v>0.8</v>
      </c>
      <c r="X28" s="11">
        <f t="shared" si="5"/>
        <v>1.8534936901729182</v>
      </c>
      <c r="Y28" s="10">
        <f t="shared" si="6"/>
        <v>287.90048214187931</v>
      </c>
      <c r="Z28" s="10">
        <f t="shared" si="7"/>
        <v>643.23381547521262</v>
      </c>
    </row>
    <row r="29" spans="1:26" x14ac:dyDescent="0.25">
      <c r="A29" s="2" t="s">
        <v>24</v>
      </c>
      <c r="B29">
        <v>22</v>
      </c>
      <c r="C29">
        <v>716</v>
      </c>
      <c r="D29">
        <v>425</v>
      </c>
      <c r="E29">
        <v>244</v>
      </c>
      <c r="F29">
        <v>884</v>
      </c>
      <c r="G29">
        <v>814</v>
      </c>
      <c r="H29">
        <v>230</v>
      </c>
      <c r="I29">
        <v>702</v>
      </c>
      <c r="J29">
        <v>817</v>
      </c>
      <c r="K29">
        <v>677</v>
      </c>
      <c r="L29">
        <v>775</v>
      </c>
      <c r="M29">
        <v>692</v>
      </c>
      <c r="N29">
        <v>590</v>
      </c>
      <c r="O29" s="12">
        <v>0.96173921398905837</v>
      </c>
      <c r="P29" s="3">
        <v>2</v>
      </c>
      <c r="Q29" s="4">
        <v>244</v>
      </c>
      <c r="S29">
        <f t="shared" si="0"/>
        <v>7566</v>
      </c>
      <c r="T29" s="10">
        <f t="shared" si="1"/>
        <v>630.5</v>
      </c>
      <c r="U29" s="10">
        <f t="shared" si="2"/>
        <v>21.016666666666666</v>
      </c>
      <c r="V29" s="10">
        <f t="shared" si="3"/>
        <v>218.5940613016823</v>
      </c>
      <c r="W29" s="11">
        <f t="shared" si="4"/>
        <v>0.73333333333333328</v>
      </c>
      <c r="X29" s="11">
        <f t="shared" si="5"/>
        <v>1.7712353566609966</v>
      </c>
      <c r="Y29" s="10">
        <f t="shared" si="6"/>
        <v>331.56245364868772</v>
      </c>
      <c r="Z29" s="10">
        <f t="shared" si="7"/>
        <v>793.92912031535434</v>
      </c>
    </row>
    <row r="30" spans="1:26" x14ac:dyDescent="0.25">
      <c r="A30" s="2" t="s">
        <v>25</v>
      </c>
      <c r="B30">
        <v>19</v>
      </c>
      <c r="C30">
        <v>243</v>
      </c>
      <c r="D30">
        <v>352</v>
      </c>
      <c r="E30">
        <v>427</v>
      </c>
      <c r="F30">
        <v>564</v>
      </c>
      <c r="G30">
        <v>291</v>
      </c>
      <c r="H30">
        <v>279</v>
      </c>
      <c r="I30">
        <v>879</v>
      </c>
      <c r="J30">
        <v>289</v>
      </c>
      <c r="K30">
        <v>725</v>
      </c>
      <c r="L30">
        <v>722</v>
      </c>
      <c r="M30">
        <v>335</v>
      </c>
      <c r="N30">
        <v>762</v>
      </c>
      <c r="O30" s="12">
        <v>0.97950149580571777</v>
      </c>
      <c r="P30" s="3">
        <v>2</v>
      </c>
      <c r="Q30" s="4">
        <v>183</v>
      </c>
      <c r="S30">
        <f t="shared" si="0"/>
        <v>5868</v>
      </c>
      <c r="T30" s="10">
        <f t="shared" si="1"/>
        <v>489</v>
      </c>
      <c r="U30" s="10">
        <f t="shared" si="2"/>
        <v>16.3</v>
      </c>
      <c r="V30" s="10">
        <f t="shared" si="3"/>
        <v>228.11241247962096</v>
      </c>
      <c r="W30" s="11">
        <f t="shared" si="4"/>
        <v>0.6333333333333333</v>
      </c>
      <c r="X30" s="11">
        <f t="shared" si="5"/>
        <v>2.0435602618479227</v>
      </c>
      <c r="Y30" s="10">
        <f t="shared" si="6"/>
        <v>370.98174498666685</v>
      </c>
      <c r="Z30" s="10">
        <f t="shared" si="7"/>
        <v>680.6817449866669</v>
      </c>
    </row>
    <row r="31" spans="1:26" x14ac:dyDescent="0.25">
      <c r="A31" s="2" t="s">
        <v>26</v>
      </c>
      <c r="B31">
        <v>26</v>
      </c>
      <c r="C31">
        <v>378</v>
      </c>
      <c r="D31">
        <v>858</v>
      </c>
      <c r="E31">
        <v>227</v>
      </c>
      <c r="F31">
        <v>697</v>
      </c>
      <c r="G31">
        <v>826</v>
      </c>
      <c r="H31">
        <v>603</v>
      </c>
      <c r="I31">
        <v>352</v>
      </c>
      <c r="J31">
        <v>722</v>
      </c>
      <c r="K31">
        <v>617</v>
      </c>
      <c r="L31">
        <v>467</v>
      </c>
      <c r="M31">
        <v>470</v>
      </c>
      <c r="N31">
        <v>530</v>
      </c>
      <c r="O31" s="12">
        <v>0.95842390645883402</v>
      </c>
      <c r="P31" s="3">
        <v>4</v>
      </c>
      <c r="Q31" s="4">
        <v>157</v>
      </c>
      <c r="S31">
        <f t="shared" si="0"/>
        <v>6747</v>
      </c>
      <c r="T31" s="10">
        <f t="shared" si="1"/>
        <v>562.25</v>
      </c>
      <c r="U31" s="10">
        <f t="shared" si="2"/>
        <v>18.741666666666667</v>
      </c>
      <c r="V31" s="10">
        <f t="shared" si="3"/>
        <v>194.12654026784602</v>
      </c>
      <c r="W31" s="11">
        <f t="shared" si="4"/>
        <v>0.8666666666666667</v>
      </c>
      <c r="X31" s="11">
        <f t="shared" si="5"/>
        <v>1.7326821038707345</v>
      </c>
      <c r="Y31" s="10">
        <f t="shared" si="6"/>
        <v>313.13372979869769</v>
      </c>
      <c r="Z31" s="10">
        <f t="shared" si="7"/>
        <v>800.41706313203099</v>
      </c>
    </row>
    <row r="32" spans="1:26" x14ac:dyDescent="0.25">
      <c r="A32" s="2" t="s">
        <v>27</v>
      </c>
      <c r="B32">
        <v>30</v>
      </c>
      <c r="C32">
        <v>792</v>
      </c>
      <c r="D32">
        <v>778</v>
      </c>
      <c r="E32">
        <v>758</v>
      </c>
      <c r="F32">
        <v>818</v>
      </c>
      <c r="G32">
        <v>737</v>
      </c>
      <c r="H32">
        <v>676</v>
      </c>
      <c r="I32">
        <v>566</v>
      </c>
      <c r="J32">
        <v>434</v>
      </c>
      <c r="K32">
        <v>505</v>
      </c>
      <c r="L32">
        <v>399</v>
      </c>
      <c r="M32">
        <v>610</v>
      </c>
      <c r="N32">
        <v>350</v>
      </c>
      <c r="O32" s="12">
        <v>0.96099142491398037</v>
      </c>
      <c r="P32" s="3">
        <v>3</v>
      </c>
      <c r="Q32" s="4">
        <v>299</v>
      </c>
      <c r="S32">
        <f t="shared" si="0"/>
        <v>7423</v>
      </c>
      <c r="T32" s="10">
        <f t="shared" si="1"/>
        <v>618.58333333333337</v>
      </c>
      <c r="U32" s="10">
        <f t="shared" si="2"/>
        <v>20.619444444444447</v>
      </c>
      <c r="V32" s="10">
        <f t="shared" si="3"/>
        <v>165.74210982637152</v>
      </c>
      <c r="W32" s="11">
        <f t="shared" si="4"/>
        <v>1</v>
      </c>
      <c r="X32" s="11">
        <f t="shared" si="5"/>
        <v>1.7623087271649596</v>
      </c>
      <c r="Y32" s="10">
        <f t="shared" si="6"/>
        <v>292.08876660574771</v>
      </c>
      <c r="Z32" s="10">
        <f t="shared" si="7"/>
        <v>910.67209993908114</v>
      </c>
    </row>
    <row r="33" spans="1:26" x14ac:dyDescent="0.25">
      <c r="A33" s="2" t="s">
        <v>28</v>
      </c>
      <c r="B33">
        <v>27</v>
      </c>
      <c r="C33">
        <v>393</v>
      </c>
      <c r="D33">
        <v>761</v>
      </c>
      <c r="E33">
        <v>232</v>
      </c>
      <c r="F33">
        <v>669</v>
      </c>
      <c r="G33">
        <v>548</v>
      </c>
      <c r="H33">
        <v>541</v>
      </c>
      <c r="I33">
        <v>703</v>
      </c>
      <c r="J33">
        <v>352</v>
      </c>
      <c r="K33">
        <v>580</v>
      </c>
      <c r="L33">
        <v>335</v>
      </c>
      <c r="M33">
        <v>760</v>
      </c>
      <c r="N33">
        <v>467</v>
      </c>
      <c r="O33" s="12">
        <v>0.96960444268604717</v>
      </c>
      <c r="P33" s="3">
        <v>1</v>
      </c>
      <c r="Q33" s="4">
        <v>284</v>
      </c>
      <c r="S33">
        <f t="shared" si="0"/>
        <v>6341</v>
      </c>
      <c r="T33" s="10">
        <f t="shared" si="1"/>
        <v>528.41666666666663</v>
      </c>
      <c r="U33" s="10">
        <f t="shared" si="2"/>
        <v>17.613888888888887</v>
      </c>
      <c r="V33" s="10">
        <f t="shared" si="3"/>
        <v>175.72626353783798</v>
      </c>
      <c r="W33" s="11">
        <f t="shared" si="4"/>
        <v>0.9</v>
      </c>
      <c r="X33" s="11">
        <f t="shared" si="5"/>
        <v>1.8750116950673519</v>
      </c>
      <c r="Y33" s="10">
        <f t="shared" si="6"/>
        <v>312.5805207564124</v>
      </c>
      <c r="Z33" s="10">
        <f t="shared" si="7"/>
        <v>788.15552075641233</v>
      </c>
    </row>
    <row r="34" spans="1:26" x14ac:dyDescent="0.25">
      <c r="A34" s="2" t="s">
        <v>29</v>
      </c>
      <c r="B34">
        <v>20</v>
      </c>
      <c r="C34">
        <v>739</v>
      </c>
      <c r="D34">
        <v>353</v>
      </c>
      <c r="E34">
        <v>890</v>
      </c>
      <c r="F34">
        <v>798</v>
      </c>
      <c r="G34">
        <v>696</v>
      </c>
      <c r="H34">
        <v>272</v>
      </c>
      <c r="I34">
        <v>584</v>
      </c>
      <c r="J34">
        <v>538</v>
      </c>
      <c r="K34">
        <v>216</v>
      </c>
      <c r="L34">
        <v>224</v>
      </c>
      <c r="M34">
        <v>649</v>
      </c>
      <c r="N34">
        <v>236</v>
      </c>
      <c r="O34" s="12">
        <v>0.9544125346147152</v>
      </c>
      <c r="P34" s="3">
        <v>3</v>
      </c>
      <c r="Q34" s="4">
        <v>218</v>
      </c>
      <c r="S34">
        <f t="shared" si="0"/>
        <v>6195</v>
      </c>
      <c r="T34" s="10">
        <f t="shared" si="1"/>
        <v>516.25</v>
      </c>
      <c r="U34" s="10">
        <f t="shared" si="2"/>
        <v>17.208333333333332</v>
      </c>
      <c r="V34" s="10">
        <f t="shared" si="3"/>
        <v>245.70755899128244</v>
      </c>
      <c r="W34" s="11">
        <f t="shared" si="4"/>
        <v>0.66666666666666663</v>
      </c>
      <c r="X34" s="11">
        <f t="shared" si="5"/>
        <v>1.6892322510372269</v>
      </c>
      <c r="Y34" s="10">
        <f t="shared" si="6"/>
        <v>338.89272996106268</v>
      </c>
      <c r="Z34" s="10">
        <f t="shared" si="7"/>
        <v>683.05939662772926</v>
      </c>
    </row>
    <row r="35" spans="1:26" x14ac:dyDescent="0.25">
      <c r="A35" s="2" t="s">
        <v>30</v>
      </c>
      <c r="B35">
        <v>24</v>
      </c>
      <c r="C35">
        <v>230</v>
      </c>
      <c r="D35">
        <v>697</v>
      </c>
      <c r="E35">
        <v>248</v>
      </c>
      <c r="F35">
        <v>643</v>
      </c>
      <c r="G35">
        <v>306</v>
      </c>
      <c r="H35">
        <v>236</v>
      </c>
      <c r="I35">
        <v>865</v>
      </c>
      <c r="J35">
        <v>674</v>
      </c>
      <c r="K35">
        <v>739</v>
      </c>
      <c r="L35">
        <v>564</v>
      </c>
      <c r="M35">
        <v>441</v>
      </c>
      <c r="N35">
        <v>833</v>
      </c>
      <c r="O35" s="12">
        <v>0.97596456565775358</v>
      </c>
      <c r="P35" s="3">
        <v>2</v>
      </c>
      <c r="Q35" s="4">
        <v>174</v>
      </c>
      <c r="S35">
        <f t="shared" si="0"/>
        <v>6476</v>
      </c>
      <c r="T35" s="10">
        <f t="shared" si="1"/>
        <v>539.66666666666663</v>
      </c>
      <c r="U35" s="10">
        <f t="shared" si="2"/>
        <v>17.988888888888887</v>
      </c>
      <c r="V35" s="10">
        <f t="shared" si="3"/>
        <v>238.02228059701901</v>
      </c>
      <c r="W35" s="11">
        <f t="shared" si="4"/>
        <v>0.8</v>
      </c>
      <c r="X35" s="11">
        <f t="shared" si="5"/>
        <v>1.9767413990380152</v>
      </c>
      <c r="Y35" s="10">
        <f t="shared" si="6"/>
        <v>420.83559237376954</v>
      </c>
      <c r="Z35" s="10">
        <f t="shared" si="7"/>
        <v>852.56892570710284</v>
      </c>
    </row>
    <row r="36" spans="1:26" x14ac:dyDescent="0.25">
      <c r="A36" s="2" t="s">
        <v>31</v>
      </c>
      <c r="B36">
        <v>19</v>
      </c>
      <c r="C36">
        <v>526</v>
      </c>
      <c r="D36">
        <v>280</v>
      </c>
      <c r="E36">
        <v>829</v>
      </c>
      <c r="F36">
        <v>559</v>
      </c>
      <c r="G36">
        <v>740</v>
      </c>
      <c r="H36">
        <v>364</v>
      </c>
      <c r="I36">
        <v>397</v>
      </c>
      <c r="J36">
        <v>381</v>
      </c>
      <c r="K36">
        <v>350</v>
      </c>
      <c r="L36">
        <v>752</v>
      </c>
      <c r="M36">
        <v>888</v>
      </c>
      <c r="N36">
        <v>757</v>
      </c>
      <c r="O36" s="12">
        <v>0.96142035295315231</v>
      </c>
      <c r="P36" s="3">
        <v>3</v>
      </c>
      <c r="Q36" s="4">
        <v>236</v>
      </c>
      <c r="S36">
        <f t="shared" si="0"/>
        <v>6823</v>
      </c>
      <c r="T36" s="10">
        <f t="shared" si="1"/>
        <v>568.58333333333337</v>
      </c>
      <c r="U36" s="10">
        <f t="shared" si="2"/>
        <v>18.952777777777779</v>
      </c>
      <c r="V36" s="10">
        <f t="shared" si="3"/>
        <v>214.86082528563514</v>
      </c>
      <c r="W36" s="11">
        <f t="shared" si="4"/>
        <v>0.6333333333333333</v>
      </c>
      <c r="X36" s="11">
        <f t="shared" si="5"/>
        <v>1.7674117647510179</v>
      </c>
      <c r="Y36" s="10">
        <f t="shared" si="6"/>
        <v>302.21161672873239</v>
      </c>
      <c r="Z36" s="10">
        <f t="shared" si="7"/>
        <v>662.31439450651021</v>
      </c>
    </row>
    <row r="37" spans="1:26" x14ac:dyDescent="0.25">
      <c r="A37" s="2" t="s">
        <v>32</v>
      </c>
      <c r="B37">
        <v>28</v>
      </c>
      <c r="C37">
        <v>670</v>
      </c>
      <c r="D37">
        <v>671</v>
      </c>
      <c r="E37">
        <v>465</v>
      </c>
      <c r="F37">
        <v>213</v>
      </c>
      <c r="G37">
        <v>614</v>
      </c>
      <c r="H37">
        <v>574</v>
      </c>
      <c r="I37">
        <v>800</v>
      </c>
      <c r="J37">
        <v>337</v>
      </c>
      <c r="K37">
        <v>724</v>
      </c>
      <c r="L37">
        <v>522</v>
      </c>
      <c r="M37">
        <v>400</v>
      </c>
      <c r="N37">
        <v>532</v>
      </c>
      <c r="O37" s="12">
        <v>0.95641516873890509</v>
      </c>
      <c r="P37" s="3">
        <v>4</v>
      </c>
      <c r="Q37" s="4">
        <v>262</v>
      </c>
      <c r="S37">
        <f t="shared" ref="S37:S68" si="8">SUM(C37:N37)</f>
        <v>6522</v>
      </c>
      <c r="T37" s="10">
        <f t="shared" si="1"/>
        <v>543.5</v>
      </c>
      <c r="U37" s="10">
        <f t="shared" si="2"/>
        <v>18.116666666666667</v>
      </c>
      <c r="V37" s="10">
        <f t="shared" si="3"/>
        <v>169.42496327819634</v>
      </c>
      <c r="W37" s="11">
        <f t="shared" si="4"/>
        <v>0.93333333333333335</v>
      </c>
      <c r="X37" s="11">
        <f t="shared" si="5"/>
        <v>1.7105205183678245</v>
      </c>
      <c r="Y37" s="10">
        <f t="shared" si="6"/>
        <v>279.97810941060897</v>
      </c>
      <c r="Z37" s="10">
        <f t="shared" si="7"/>
        <v>787.24477607727567</v>
      </c>
    </row>
    <row r="38" spans="1:26" x14ac:dyDescent="0.25">
      <c r="A38" s="2" t="s">
        <v>33</v>
      </c>
      <c r="B38">
        <v>24</v>
      </c>
      <c r="C38">
        <v>682</v>
      </c>
      <c r="D38">
        <v>711</v>
      </c>
      <c r="E38">
        <v>704</v>
      </c>
      <c r="F38">
        <v>617</v>
      </c>
      <c r="G38">
        <v>394</v>
      </c>
      <c r="H38">
        <v>842</v>
      </c>
      <c r="I38">
        <v>487</v>
      </c>
      <c r="J38">
        <v>708</v>
      </c>
      <c r="K38">
        <v>563</v>
      </c>
      <c r="L38">
        <v>791</v>
      </c>
      <c r="M38">
        <v>505</v>
      </c>
      <c r="N38">
        <v>535</v>
      </c>
      <c r="O38" s="12">
        <v>0.95957788747806005</v>
      </c>
      <c r="P38" s="3">
        <v>3</v>
      </c>
      <c r="Q38" s="4">
        <v>254</v>
      </c>
      <c r="S38">
        <f t="shared" si="8"/>
        <v>7539</v>
      </c>
      <c r="T38" s="10">
        <f t="shared" si="1"/>
        <v>628.25</v>
      </c>
      <c r="U38" s="10">
        <f t="shared" si="2"/>
        <v>20.941666666666666</v>
      </c>
      <c r="V38" s="10">
        <f t="shared" si="3"/>
        <v>133.86093530227555</v>
      </c>
      <c r="W38" s="11">
        <f t="shared" si="4"/>
        <v>0.8</v>
      </c>
      <c r="X38" s="11">
        <f t="shared" si="5"/>
        <v>1.7458085484805044</v>
      </c>
      <c r="Y38" s="10">
        <f t="shared" si="6"/>
        <v>209.02366789368358</v>
      </c>
      <c r="Z38" s="10">
        <f t="shared" si="7"/>
        <v>711.62366789368366</v>
      </c>
    </row>
    <row r="39" spans="1:26" x14ac:dyDescent="0.25">
      <c r="A39" s="2" t="s">
        <v>34</v>
      </c>
      <c r="B39">
        <v>22</v>
      </c>
      <c r="C39">
        <v>653</v>
      </c>
      <c r="D39">
        <v>267</v>
      </c>
      <c r="E39">
        <v>546</v>
      </c>
      <c r="F39">
        <v>769</v>
      </c>
      <c r="G39">
        <v>884</v>
      </c>
      <c r="H39">
        <v>804</v>
      </c>
      <c r="I39">
        <v>618</v>
      </c>
      <c r="J39">
        <v>405</v>
      </c>
      <c r="K39">
        <v>435</v>
      </c>
      <c r="L39">
        <v>580</v>
      </c>
      <c r="M39">
        <v>231</v>
      </c>
      <c r="N39">
        <v>380</v>
      </c>
      <c r="O39" s="12">
        <v>0.96866575162381263</v>
      </c>
      <c r="P39" s="3">
        <v>2</v>
      </c>
      <c r="Q39" s="4">
        <v>212</v>
      </c>
      <c r="S39">
        <f t="shared" si="8"/>
        <v>6572</v>
      </c>
      <c r="T39" s="10">
        <f t="shared" si="1"/>
        <v>547.66666666666663</v>
      </c>
      <c r="U39" s="10">
        <f t="shared" si="2"/>
        <v>18.255555555555553</v>
      </c>
      <c r="V39" s="10">
        <f t="shared" si="3"/>
        <v>210.00360747262209</v>
      </c>
      <c r="W39" s="11">
        <f t="shared" si="4"/>
        <v>0.73333333333333328</v>
      </c>
      <c r="X39" s="11">
        <f t="shared" si="5"/>
        <v>1.8615361767806842</v>
      </c>
      <c r="Y39" s="10">
        <f t="shared" si="6"/>
        <v>334.77186278078102</v>
      </c>
      <c r="Z39" s="10">
        <f t="shared" si="7"/>
        <v>736.39408500300317</v>
      </c>
    </row>
    <row r="40" spans="1:26" x14ac:dyDescent="0.25">
      <c r="A40" s="2" t="s">
        <v>35</v>
      </c>
      <c r="B40">
        <v>22</v>
      </c>
      <c r="C40">
        <v>681</v>
      </c>
      <c r="D40">
        <v>684</v>
      </c>
      <c r="E40">
        <v>581</v>
      </c>
      <c r="F40">
        <v>264</v>
      </c>
      <c r="G40">
        <v>234</v>
      </c>
      <c r="H40">
        <v>561</v>
      </c>
      <c r="I40">
        <v>469</v>
      </c>
      <c r="J40">
        <v>588</v>
      </c>
      <c r="K40">
        <v>261</v>
      </c>
      <c r="L40">
        <v>620</v>
      </c>
      <c r="M40">
        <v>473</v>
      </c>
      <c r="N40">
        <v>294</v>
      </c>
      <c r="O40" s="12">
        <v>0.96863380922104525</v>
      </c>
      <c r="P40" s="3">
        <v>3</v>
      </c>
      <c r="Q40" s="4">
        <v>161</v>
      </c>
      <c r="S40">
        <f t="shared" si="8"/>
        <v>5710</v>
      </c>
      <c r="T40" s="10">
        <f t="shared" si="1"/>
        <v>475.83333333333331</v>
      </c>
      <c r="U40" s="10">
        <f t="shared" si="2"/>
        <v>15.861111111111111</v>
      </c>
      <c r="V40" s="10">
        <f t="shared" si="3"/>
        <v>170.48958023790473</v>
      </c>
      <c r="W40" s="11">
        <f t="shared" si="4"/>
        <v>0.73333333333333328</v>
      </c>
      <c r="X40" s="11">
        <f t="shared" si="5"/>
        <v>1.8610835309152838</v>
      </c>
      <c r="Y40" s="10">
        <f t="shared" si="6"/>
        <v>271.71550443583891</v>
      </c>
      <c r="Z40" s="10">
        <f t="shared" si="7"/>
        <v>620.65994888028331</v>
      </c>
    </row>
    <row r="41" spans="1:26" x14ac:dyDescent="0.25">
      <c r="A41" s="2" t="s">
        <v>36</v>
      </c>
      <c r="B41">
        <v>26</v>
      </c>
      <c r="C41">
        <v>763</v>
      </c>
      <c r="D41">
        <v>602</v>
      </c>
      <c r="E41">
        <v>662</v>
      </c>
      <c r="F41">
        <v>424</v>
      </c>
      <c r="G41">
        <v>444</v>
      </c>
      <c r="H41">
        <v>637</v>
      </c>
      <c r="I41">
        <v>482</v>
      </c>
      <c r="J41">
        <v>697</v>
      </c>
      <c r="K41">
        <v>713</v>
      </c>
      <c r="L41">
        <v>302</v>
      </c>
      <c r="M41">
        <v>508</v>
      </c>
      <c r="N41">
        <v>467</v>
      </c>
      <c r="O41" s="12">
        <v>0.95898965157047689</v>
      </c>
      <c r="P41" s="3">
        <v>2</v>
      </c>
      <c r="Q41" s="4">
        <v>264</v>
      </c>
      <c r="S41">
        <f t="shared" si="8"/>
        <v>6701</v>
      </c>
      <c r="T41" s="10">
        <f t="shared" si="1"/>
        <v>558.41666666666663</v>
      </c>
      <c r="U41" s="10">
        <f t="shared" si="2"/>
        <v>18.613888888888887</v>
      </c>
      <c r="V41" s="10">
        <f t="shared" si="3"/>
        <v>140.58543719573211</v>
      </c>
      <c r="W41" s="11">
        <f t="shared" si="4"/>
        <v>0.8666666666666667</v>
      </c>
      <c r="X41" s="11">
        <f t="shared" si="5"/>
        <v>1.7390799727936816</v>
      </c>
      <c r="Y41" s="10">
        <f t="shared" si="6"/>
        <v>227.60716858589629</v>
      </c>
      <c r="Z41" s="10">
        <f t="shared" si="7"/>
        <v>711.56827969700737</v>
      </c>
    </row>
    <row r="42" spans="1:26" x14ac:dyDescent="0.25">
      <c r="A42" s="2" t="s">
        <v>37</v>
      </c>
      <c r="B42">
        <v>24</v>
      </c>
      <c r="C42">
        <v>736</v>
      </c>
      <c r="D42">
        <v>246</v>
      </c>
      <c r="E42">
        <v>634</v>
      </c>
      <c r="F42">
        <v>442</v>
      </c>
      <c r="G42">
        <v>223</v>
      </c>
      <c r="H42">
        <v>452</v>
      </c>
      <c r="I42">
        <v>711</v>
      </c>
      <c r="J42">
        <v>380</v>
      </c>
      <c r="K42">
        <v>595</v>
      </c>
      <c r="L42">
        <v>650</v>
      </c>
      <c r="M42">
        <v>472</v>
      </c>
      <c r="N42">
        <v>469</v>
      </c>
      <c r="O42" s="12">
        <v>0.95055655318054177</v>
      </c>
      <c r="P42" s="3">
        <v>2</v>
      </c>
      <c r="Q42" s="4">
        <v>243</v>
      </c>
      <c r="S42">
        <f t="shared" si="8"/>
        <v>6010</v>
      </c>
      <c r="T42" s="10">
        <f t="shared" si="1"/>
        <v>500.83333333333331</v>
      </c>
      <c r="U42" s="10">
        <f t="shared" si="2"/>
        <v>16.694444444444443</v>
      </c>
      <c r="V42" s="10">
        <f t="shared" si="3"/>
        <v>168.61674312062266</v>
      </c>
      <c r="W42" s="11">
        <f t="shared" si="4"/>
        <v>0.8</v>
      </c>
      <c r="X42" s="11">
        <f t="shared" si="5"/>
        <v>1.650274068072771</v>
      </c>
      <c r="Y42" s="10">
        <f t="shared" si="6"/>
        <v>248.8867435291354</v>
      </c>
      <c r="Z42" s="10">
        <f t="shared" si="7"/>
        <v>649.55341019580203</v>
      </c>
    </row>
    <row r="43" spans="1:26" x14ac:dyDescent="0.25">
      <c r="A43" s="2" t="s">
        <v>38</v>
      </c>
      <c r="B43">
        <v>26</v>
      </c>
      <c r="C43">
        <v>713</v>
      </c>
      <c r="D43">
        <v>379</v>
      </c>
      <c r="E43">
        <v>575</v>
      </c>
      <c r="F43">
        <v>691</v>
      </c>
      <c r="G43">
        <v>350</v>
      </c>
      <c r="H43">
        <v>652</v>
      </c>
      <c r="I43">
        <v>808</v>
      </c>
      <c r="J43">
        <v>337</v>
      </c>
      <c r="K43">
        <v>828</v>
      </c>
      <c r="L43">
        <v>759</v>
      </c>
      <c r="M43">
        <v>624</v>
      </c>
      <c r="N43">
        <v>475</v>
      </c>
      <c r="O43" s="12">
        <v>0.97861990443555291</v>
      </c>
      <c r="P43" s="3">
        <v>3</v>
      </c>
      <c r="Q43" s="4">
        <v>265</v>
      </c>
      <c r="S43">
        <f t="shared" si="8"/>
        <v>7191</v>
      </c>
      <c r="T43" s="10">
        <f t="shared" si="1"/>
        <v>599.25</v>
      </c>
      <c r="U43" s="10">
        <f t="shared" si="2"/>
        <v>19.975000000000001</v>
      </c>
      <c r="V43" s="10">
        <f t="shared" si="3"/>
        <v>176.22615892911327</v>
      </c>
      <c r="W43" s="11">
        <f t="shared" si="4"/>
        <v>0.8666666666666667</v>
      </c>
      <c r="X43" s="11">
        <f t="shared" si="5"/>
        <v>2.0260448274326794</v>
      </c>
      <c r="Y43" s="10">
        <f t="shared" si="6"/>
        <v>332.38810392032042</v>
      </c>
      <c r="Z43" s="10">
        <f t="shared" si="7"/>
        <v>851.73810392032044</v>
      </c>
    </row>
    <row r="44" spans="1:26" x14ac:dyDescent="0.25">
      <c r="A44" s="2" t="s">
        <v>39</v>
      </c>
      <c r="B44">
        <v>28</v>
      </c>
      <c r="C44">
        <v>476</v>
      </c>
      <c r="D44">
        <v>445</v>
      </c>
      <c r="E44">
        <v>759</v>
      </c>
      <c r="F44">
        <v>291</v>
      </c>
      <c r="G44">
        <v>426</v>
      </c>
      <c r="H44">
        <v>356</v>
      </c>
      <c r="I44">
        <v>870</v>
      </c>
      <c r="J44">
        <v>502</v>
      </c>
      <c r="K44">
        <v>394</v>
      </c>
      <c r="L44">
        <v>891</v>
      </c>
      <c r="M44">
        <v>525</v>
      </c>
      <c r="N44">
        <v>836</v>
      </c>
      <c r="O44" s="12">
        <v>0.97709671648547103</v>
      </c>
      <c r="P44" s="3">
        <v>2</v>
      </c>
      <c r="Q44" s="4">
        <v>164</v>
      </c>
      <c r="S44">
        <f t="shared" si="8"/>
        <v>6771</v>
      </c>
      <c r="T44" s="10">
        <f t="shared" si="1"/>
        <v>564.25</v>
      </c>
      <c r="U44" s="10">
        <f t="shared" si="2"/>
        <v>18.808333333333334</v>
      </c>
      <c r="V44" s="10">
        <f t="shared" si="3"/>
        <v>214.38712859938889</v>
      </c>
      <c r="W44" s="11">
        <f t="shared" si="4"/>
        <v>0.93333333333333335</v>
      </c>
      <c r="X44" s="11">
        <f t="shared" si="5"/>
        <v>1.9971713976665442</v>
      </c>
      <c r="Y44" s="10">
        <f t="shared" si="6"/>
        <v>413.64943322642256</v>
      </c>
      <c r="Z44" s="10">
        <f t="shared" si="7"/>
        <v>940.28276655975583</v>
      </c>
    </row>
    <row r="45" spans="1:26" x14ac:dyDescent="0.25">
      <c r="A45" s="2" t="s">
        <v>40</v>
      </c>
      <c r="B45">
        <v>26</v>
      </c>
      <c r="C45">
        <v>346</v>
      </c>
      <c r="D45">
        <v>489</v>
      </c>
      <c r="E45">
        <v>420</v>
      </c>
      <c r="F45">
        <v>503</v>
      </c>
      <c r="G45">
        <v>499</v>
      </c>
      <c r="H45">
        <v>219</v>
      </c>
      <c r="I45">
        <v>321</v>
      </c>
      <c r="J45">
        <v>279</v>
      </c>
      <c r="K45">
        <v>670</v>
      </c>
      <c r="L45">
        <v>248</v>
      </c>
      <c r="M45">
        <v>307</v>
      </c>
      <c r="N45">
        <v>618</v>
      </c>
      <c r="O45" s="12">
        <v>0.95124619230473861</v>
      </c>
      <c r="P45" s="3">
        <v>4</v>
      </c>
      <c r="Q45" s="4">
        <v>161</v>
      </c>
      <c r="S45">
        <f t="shared" si="8"/>
        <v>4919</v>
      </c>
      <c r="T45" s="10">
        <f t="shared" si="1"/>
        <v>409.91666666666669</v>
      </c>
      <c r="U45" s="10">
        <f t="shared" si="2"/>
        <v>13.66388888888889</v>
      </c>
      <c r="V45" s="10">
        <f t="shared" si="3"/>
        <v>146.5627128156367</v>
      </c>
      <c r="W45" s="11">
        <f t="shared" si="4"/>
        <v>0.8666666666666667</v>
      </c>
      <c r="X45" s="11">
        <f t="shared" si="5"/>
        <v>1.6570586630932798</v>
      </c>
      <c r="Y45" s="10">
        <f t="shared" si="6"/>
        <v>226.09316071286256</v>
      </c>
      <c r="Z45" s="10">
        <f t="shared" si="7"/>
        <v>581.3542718239737</v>
      </c>
    </row>
    <row r="46" spans="1:26" x14ac:dyDescent="0.25">
      <c r="A46" s="2" t="s">
        <v>41</v>
      </c>
      <c r="B46">
        <v>23</v>
      </c>
      <c r="C46">
        <v>252</v>
      </c>
      <c r="D46">
        <v>291</v>
      </c>
      <c r="E46">
        <v>329</v>
      </c>
      <c r="F46">
        <v>222</v>
      </c>
      <c r="G46">
        <v>604</v>
      </c>
      <c r="H46">
        <v>509</v>
      </c>
      <c r="I46">
        <v>789</v>
      </c>
      <c r="J46">
        <v>551</v>
      </c>
      <c r="K46">
        <v>243</v>
      </c>
      <c r="L46">
        <v>414</v>
      </c>
      <c r="M46">
        <v>641</v>
      </c>
      <c r="N46">
        <v>512</v>
      </c>
      <c r="O46" s="12">
        <v>0.96740257173506028</v>
      </c>
      <c r="P46" s="3">
        <v>4</v>
      </c>
      <c r="Q46" s="4">
        <v>291</v>
      </c>
      <c r="S46">
        <f t="shared" si="8"/>
        <v>5357</v>
      </c>
      <c r="T46" s="10">
        <f t="shared" si="1"/>
        <v>446.41666666666669</v>
      </c>
      <c r="U46" s="10">
        <f t="shared" si="2"/>
        <v>14.880555555555556</v>
      </c>
      <c r="V46" s="10">
        <f t="shared" si="3"/>
        <v>182.84243506529344</v>
      </c>
      <c r="W46" s="11">
        <f t="shared" si="4"/>
        <v>0.76666666666666672</v>
      </c>
      <c r="X46" s="11">
        <f t="shared" si="5"/>
        <v>1.8439196115450127</v>
      </c>
      <c r="Y46" s="10">
        <f t="shared" si="6"/>
        <v>295.20402223698932</v>
      </c>
      <c r="Z46" s="10">
        <f t="shared" si="7"/>
        <v>637.45680001476717</v>
      </c>
    </row>
    <row r="47" spans="1:26" x14ac:dyDescent="0.25">
      <c r="A47" s="2" t="s">
        <v>42</v>
      </c>
      <c r="B47">
        <v>28</v>
      </c>
      <c r="C47">
        <v>603</v>
      </c>
      <c r="D47">
        <v>606</v>
      </c>
      <c r="E47">
        <v>335</v>
      </c>
      <c r="F47">
        <v>557</v>
      </c>
      <c r="G47">
        <v>383</v>
      </c>
      <c r="H47">
        <v>345</v>
      </c>
      <c r="I47">
        <v>727</v>
      </c>
      <c r="J47">
        <v>556</v>
      </c>
      <c r="K47">
        <v>873</v>
      </c>
      <c r="L47">
        <v>899</v>
      </c>
      <c r="M47">
        <v>570</v>
      </c>
      <c r="N47">
        <v>359</v>
      </c>
      <c r="O47" s="12">
        <v>0.95833085043958932</v>
      </c>
      <c r="P47" s="3">
        <v>3</v>
      </c>
      <c r="Q47" s="4">
        <v>237</v>
      </c>
      <c r="S47">
        <f t="shared" si="8"/>
        <v>6813</v>
      </c>
      <c r="T47" s="10">
        <f t="shared" si="1"/>
        <v>567.75</v>
      </c>
      <c r="U47" s="10">
        <f t="shared" si="2"/>
        <v>18.925000000000001</v>
      </c>
      <c r="V47" s="10">
        <f t="shared" si="3"/>
        <v>193.70273617065919</v>
      </c>
      <c r="W47" s="11">
        <f t="shared" si="4"/>
        <v>0.93333333333333335</v>
      </c>
      <c r="X47" s="11">
        <f t="shared" si="5"/>
        <v>1.7316365228038246</v>
      </c>
      <c r="Y47" s="10">
        <f t="shared" si="6"/>
        <v>324.04914574571842</v>
      </c>
      <c r="Z47" s="10">
        <f t="shared" si="7"/>
        <v>853.9491457457184</v>
      </c>
    </row>
    <row r="48" spans="1:26" x14ac:dyDescent="0.25">
      <c r="A48" s="2" t="s">
        <v>43</v>
      </c>
      <c r="B48">
        <v>22</v>
      </c>
      <c r="C48">
        <v>598</v>
      </c>
      <c r="D48">
        <v>751</v>
      </c>
      <c r="E48">
        <v>471</v>
      </c>
      <c r="F48">
        <v>805</v>
      </c>
      <c r="G48">
        <v>362</v>
      </c>
      <c r="H48">
        <v>422</v>
      </c>
      <c r="I48">
        <v>759</v>
      </c>
      <c r="J48">
        <v>451</v>
      </c>
      <c r="K48">
        <v>440</v>
      </c>
      <c r="L48">
        <v>287</v>
      </c>
      <c r="M48">
        <v>838</v>
      </c>
      <c r="N48">
        <v>371</v>
      </c>
      <c r="O48" s="12">
        <v>0.96896310515604966</v>
      </c>
      <c r="P48" s="3">
        <v>2</v>
      </c>
      <c r="Q48" s="4">
        <v>242</v>
      </c>
      <c r="S48">
        <f t="shared" si="8"/>
        <v>6555</v>
      </c>
      <c r="T48" s="10">
        <f t="shared" si="1"/>
        <v>546.25</v>
      </c>
      <c r="U48" s="10">
        <f t="shared" si="2"/>
        <v>18.208333333333332</v>
      </c>
      <c r="V48" s="10">
        <f t="shared" si="3"/>
        <v>194.29739389072432</v>
      </c>
      <c r="W48" s="11">
        <f t="shared" si="4"/>
        <v>0.73333333333333328</v>
      </c>
      <c r="X48" s="11">
        <f t="shared" si="5"/>
        <v>1.8657682966274609</v>
      </c>
      <c r="Y48" s="10">
        <f t="shared" si="6"/>
        <v>310.43837233810223</v>
      </c>
      <c r="Z48" s="10">
        <f t="shared" si="7"/>
        <v>711.02170567143548</v>
      </c>
    </row>
    <row r="49" spans="1:26" x14ac:dyDescent="0.25">
      <c r="A49" s="2" t="s">
        <v>44</v>
      </c>
      <c r="B49">
        <v>30</v>
      </c>
      <c r="C49">
        <v>297</v>
      </c>
      <c r="D49">
        <v>895</v>
      </c>
      <c r="E49">
        <v>871</v>
      </c>
      <c r="F49">
        <v>506</v>
      </c>
      <c r="G49">
        <v>385</v>
      </c>
      <c r="H49">
        <v>437</v>
      </c>
      <c r="I49">
        <v>448</v>
      </c>
      <c r="J49">
        <v>207</v>
      </c>
      <c r="K49">
        <v>751</v>
      </c>
      <c r="L49">
        <v>804</v>
      </c>
      <c r="M49">
        <v>423</v>
      </c>
      <c r="N49">
        <v>600</v>
      </c>
      <c r="O49" s="12">
        <v>0.95969422954839967</v>
      </c>
      <c r="P49" s="3">
        <v>2</v>
      </c>
      <c r="Q49" s="4">
        <v>287</v>
      </c>
      <c r="S49">
        <f t="shared" si="8"/>
        <v>6624</v>
      </c>
      <c r="T49" s="10">
        <f t="shared" si="1"/>
        <v>552</v>
      </c>
      <c r="U49" s="10">
        <f t="shared" si="2"/>
        <v>18.399999999999999</v>
      </c>
      <c r="V49" s="10">
        <f t="shared" si="3"/>
        <v>229.53629144627453</v>
      </c>
      <c r="W49" s="11">
        <f t="shared" si="4"/>
        <v>1</v>
      </c>
      <c r="X49" s="11">
        <f t="shared" si="5"/>
        <v>1.7471487388371727</v>
      </c>
      <c r="Y49" s="10">
        <f t="shared" si="6"/>
        <v>401.03404211772028</v>
      </c>
      <c r="Z49" s="10">
        <f t="shared" si="7"/>
        <v>953.03404211772022</v>
      </c>
    </row>
    <row r="50" spans="1:26" x14ac:dyDescent="0.25">
      <c r="A50" s="2" t="s">
        <v>45</v>
      </c>
      <c r="B50">
        <v>25</v>
      </c>
      <c r="C50">
        <v>651</v>
      </c>
      <c r="D50">
        <v>859</v>
      </c>
      <c r="E50">
        <v>410</v>
      </c>
      <c r="F50">
        <v>664</v>
      </c>
      <c r="G50">
        <v>314</v>
      </c>
      <c r="H50">
        <v>828</v>
      </c>
      <c r="I50">
        <v>579</v>
      </c>
      <c r="J50">
        <v>576</v>
      </c>
      <c r="K50">
        <v>588</v>
      </c>
      <c r="L50">
        <v>404</v>
      </c>
      <c r="M50">
        <v>702</v>
      </c>
      <c r="N50">
        <v>379</v>
      </c>
      <c r="O50" s="12">
        <v>0.96487433399857392</v>
      </c>
      <c r="P50" s="3">
        <v>4</v>
      </c>
      <c r="Q50" s="4">
        <v>156</v>
      </c>
      <c r="S50">
        <f t="shared" si="8"/>
        <v>6954</v>
      </c>
      <c r="T50" s="10">
        <f t="shared" si="1"/>
        <v>579.5</v>
      </c>
      <c r="U50" s="10">
        <f t="shared" si="2"/>
        <v>19.316666666666666</v>
      </c>
      <c r="V50" s="10">
        <f t="shared" si="3"/>
        <v>175.14591319551511</v>
      </c>
      <c r="W50" s="11">
        <f t="shared" si="4"/>
        <v>0.83333333333333337</v>
      </c>
      <c r="X50" s="11">
        <f t="shared" si="5"/>
        <v>1.8102867417585393</v>
      </c>
      <c r="Y50" s="10">
        <f t="shared" si="6"/>
        <v>289.43880454297562</v>
      </c>
      <c r="Z50" s="10">
        <f t="shared" si="7"/>
        <v>772.35547120964225</v>
      </c>
    </row>
    <row r="51" spans="1:26" x14ac:dyDescent="0.25">
      <c r="A51" s="2" t="s">
        <v>46</v>
      </c>
      <c r="B51">
        <v>25</v>
      </c>
      <c r="C51">
        <v>600</v>
      </c>
      <c r="D51">
        <v>732</v>
      </c>
      <c r="E51">
        <v>287</v>
      </c>
      <c r="F51">
        <v>574</v>
      </c>
      <c r="G51">
        <v>304</v>
      </c>
      <c r="H51">
        <v>886</v>
      </c>
      <c r="I51">
        <v>546</v>
      </c>
      <c r="J51">
        <v>605</v>
      </c>
      <c r="K51">
        <v>776</v>
      </c>
      <c r="L51">
        <v>614</v>
      </c>
      <c r="M51">
        <v>801</v>
      </c>
      <c r="N51">
        <v>828</v>
      </c>
      <c r="O51" s="12">
        <v>0.97875148060466544</v>
      </c>
      <c r="P51" s="3">
        <v>2</v>
      </c>
      <c r="Q51" s="4">
        <v>185</v>
      </c>
      <c r="S51">
        <f t="shared" si="8"/>
        <v>7553</v>
      </c>
      <c r="T51" s="10">
        <f t="shared" si="1"/>
        <v>629.41666666666663</v>
      </c>
      <c r="U51" s="10">
        <f t="shared" si="2"/>
        <v>20.980555555555554</v>
      </c>
      <c r="V51" s="10">
        <f t="shared" si="3"/>
        <v>191.07231298092043</v>
      </c>
      <c r="W51" s="11">
        <f t="shared" si="4"/>
        <v>0.83333333333333337</v>
      </c>
      <c r="X51" s="11">
        <f t="shared" si="5"/>
        <v>2.0286197163185697</v>
      </c>
      <c r="Y51" s="10">
        <f t="shared" si="6"/>
        <v>353.8406954802403</v>
      </c>
      <c r="Z51" s="10">
        <f t="shared" si="7"/>
        <v>878.35458436912927</v>
      </c>
    </row>
    <row r="52" spans="1:26" x14ac:dyDescent="0.25">
      <c r="A52" s="2" t="s">
        <v>47</v>
      </c>
      <c r="B52">
        <v>28</v>
      </c>
      <c r="C52">
        <v>306</v>
      </c>
      <c r="D52">
        <v>457</v>
      </c>
      <c r="E52">
        <v>559</v>
      </c>
      <c r="F52">
        <v>784</v>
      </c>
      <c r="G52">
        <v>873</v>
      </c>
      <c r="H52">
        <v>477</v>
      </c>
      <c r="I52">
        <v>892</v>
      </c>
      <c r="J52">
        <v>596</v>
      </c>
      <c r="K52">
        <v>385</v>
      </c>
      <c r="L52">
        <v>757</v>
      </c>
      <c r="M52">
        <v>293</v>
      </c>
      <c r="N52">
        <v>313</v>
      </c>
      <c r="O52" s="12">
        <v>0.97849839612916412</v>
      </c>
      <c r="P52" s="3">
        <v>2</v>
      </c>
      <c r="Q52" s="4">
        <v>182</v>
      </c>
      <c r="S52">
        <f t="shared" si="8"/>
        <v>6692</v>
      </c>
      <c r="T52" s="10">
        <f t="shared" si="1"/>
        <v>557.66666666666663</v>
      </c>
      <c r="U52" s="10">
        <f t="shared" si="2"/>
        <v>18.588888888888889</v>
      </c>
      <c r="V52" s="10">
        <f t="shared" si="3"/>
        <v>222.25020025896828</v>
      </c>
      <c r="W52" s="11">
        <f t="shared" si="4"/>
        <v>0.93333333333333335</v>
      </c>
      <c r="X52" s="11">
        <f t="shared" si="5"/>
        <v>2.0236788342742105</v>
      </c>
      <c r="Y52" s="10">
        <f t="shared" si="6"/>
        <v>434.51236392274723</v>
      </c>
      <c r="Z52" s="10">
        <f t="shared" si="7"/>
        <v>955.00125281163605</v>
      </c>
    </row>
    <row r="53" spans="1:26" x14ac:dyDescent="0.25">
      <c r="A53" s="2" t="s">
        <v>48</v>
      </c>
      <c r="B53">
        <v>26</v>
      </c>
      <c r="C53">
        <v>552</v>
      </c>
      <c r="D53">
        <v>740</v>
      </c>
      <c r="E53">
        <v>785</v>
      </c>
      <c r="F53">
        <v>791</v>
      </c>
      <c r="G53">
        <v>634</v>
      </c>
      <c r="H53">
        <v>517</v>
      </c>
      <c r="I53">
        <v>430</v>
      </c>
      <c r="J53">
        <v>540</v>
      </c>
      <c r="K53">
        <v>797</v>
      </c>
      <c r="L53">
        <v>425</v>
      </c>
      <c r="M53">
        <v>731</v>
      </c>
      <c r="N53">
        <v>576</v>
      </c>
      <c r="O53" s="12">
        <v>0.96410644897429987</v>
      </c>
      <c r="P53" s="3">
        <v>1</v>
      </c>
      <c r="Q53" s="4">
        <v>272</v>
      </c>
      <c r="S53">
        <f t="shared" si="8"/>
        <v>7518</v>
      </c>
      <c r="T53" s="10">
        <f t="shared" si="1"/>
        <v>626.5</v>
      </c>
      <c r="U53" s="10">
        <f t="shared" si="2"/>
        <v>20.883333333333333</v>
      </c>
      <c r="V53" s="10">
        <f t="shared" si="3"/>
        <v>138.79317510074281</v>
      </c>
      <c r="W53" s="11">
        <f t="shared" si="4"/>
        <v>0.8666666666666667</v>
      </c>
      <c r="X53" s="11">
        <f t="shared" si="5"/>
        <v>1.800465907972741</v>
      </c>
      <c r="Y53" s="10">
        <f t="shared" si="6"/>
        <v>232.63714532148111</v>
      </c>
      <c r="Z53" s="10">
        <f t="shared" si="7"/>
        <v>775.60381198814775</v>
      </c>
    </row>
    <row r="54" spans="1:26" x14ac:dyDescent="0.25">
      <c r="A54" s="2" t="s">
        <v>49</v>
      </c>
      <c r="B54">
        <v>20</v>
      </c>
      <c r="C54">
        <v>362</v>
      </c>
      <c r="D54">
        <v>464</v>
      </c>
      <c r="E54">
        <v>846</v>
      </c>
      <c r="F54">
        <v>359</v>
      </c>
      <c r="G54">
        <v>676</v>
      </c>
      <c r="H54">
        <v>372</v>
      </c>
      <c r="I54">
        <v>652</v>
      </c>
      <c r="J54">
        <v>428</v>
      </c>
      <c r="K54">
        <v>271</v>
      </c>
      <c r="L54">
        <v>730</v>
      </c>
      <c r="M54">
        <v>257</v>
      </c>
      <c r="N54">
        <v>436</v>
      </c>
      <c r="O54" s="12">
        <v>0.95543258549733201</v>
      </c>
      <c r="P54" s="3">
        <v>3</v>
      </c>
      <c r="Q54" s="4">
        <v>211</v>
      </c>
      <c r="S54">
        <f t="shared" si="8"/>
        <v>5853</v>
      </c>
      <c r="T54" s="10">
        <f t="shared" si="1"/>
        <v>487.75</v>
      </c>
      <c r="U54" s="10">
        <f t="shared" si="2"/>
        <v>16.258333333333333</v>
      </c>
      <c r="V54" s="10">
        <f t="shared" si="3"/>
        <v>191.23290179065089</v>
      </c>
      <c r="W54" s="11">
        <f t="shared" si="4"/>
        <v>0.66666666666666663</v>
      </c>
      <c r="X54" s="11">
        <f t="shared" si="5"/>
        <v>1.699979247965504</v>
      </c>
      <c r="Y54" s="10">
        <f t="shared" si="6"/>
        <v>265.43647756038632</v>
      </c>
      <c r="Z54" s="10">
        <f t="shared" si="7"/>
        <v>590.60314422705301</v>
      </c>
    </row>
    <row r="55" spans="1:26" x14ac:dyDescent="0.25">
      <c r="A55" s="2" t="s">
        <v>50</v>
      </c>
      <c r="B55">
        <v>27</v>
      </c>
      <c r="C55">
        <v>322</v>
      </c>
      <c r="D55">
        <v>896</v>
      </c>
      <c r="E55">
        <v>226</v>
      </c>
      <c r="F55">
        <v>436</v>
      </c>
      <c r="G55">
        <v>864</v>
      </c>
      <c r="H55">
        <v>525</v>
      </c>
      <c r="I55">
        <v>506</v>
      </c>
      <c r="J55">
        <v>545</v>
      </c>
      <c r="K55">
        <v>542</v>
      </c>
      <c r="L55">
        <v>233</v>
      </c>
      <c r="M55">
        <v>741</v>
      </c>
      <c r="N55">
        <v>260</v>
      </c>
      <c r="O55" s="12">
        <v>0.97160993773440074</v>
      </c>
      <c r="P55" s="3">
        <v>1</v>
      </c>
      <c r="Q55" s="4">
        <v>283</v>
      </c>
      <c r="S55">
        <f t="shared" si="8"/>
        <v>6096</v>
      </c>
      <c r="T55" s="10">
        <f t="shared" si="1"/>
        <v>508</v>
      </c>
      <c r="U55" s="10">
        <f t="shared" si="2"/>
        <v>16.933333333333334</v>
      </c>
      <c r="V55" s="10">
        <f t="shared" si="3"/>
        <v>231.75614143083476</v>
      </c>
      <c r="W55" s="11">
        <f t="shared" si="4"/>
        <v>0.9</v>
      </c>
      <c r="X55" s="11">
        <f t="shared" si="5"/>
        <v>1.9049995889854252</v>
      </c>
      <c r="Y55" s="10">
        <f t="shared" si="6"/>
        <v>418.83926866853335</v>
      </c>
      <c r="Z55" s="10">
        <f t="shared" si="7"/>
        <v>876.0392686685334</v>
      </c>
    </row>
    <row r="56" spans="1:26" x14ac:dyDescent="0.25">
      <c r="A56" s="2" t="s">
        <v>51</v>
      </c>
      <c r="B56">
        <v>21</v>
      </c>
      <c r="C56">
        <v>255</v>
      </c>
      <c r="D56">
        <v>253</v>
      </c>
      <c r="E56">
        <v>332</v>
      </c>
      <c r="F56">
        <v>553</v>
      </c>
      <c r="G56">
        <v>222</v>
      </c>
      <c r="H56">
        <v>288</v>
      </c>
      <c r="I56">
        <v>220</v>
      </c>
      <c r="J56">
        <v>313</v>
      </c>
      <c r="K56">
        <v>680</v>
      </c>
      <c r="L56">
        <v>423</v>
      </c>
      <c r="M56">
        <v>579</v>
      </c>
      <c r="N56">
        <v>392</v>
      </c>
      <c r="O56" s="12">
        <v>0.95201630944631277</v>
      </c>
      <c r="P56" s="3">
        <v>1</v>
      </c>
      <c r="Q56" s="4">
        <v>195</v>
      </c>
      <c r="S56">
        <f t="shared" si="8"/>
        <v>4510</v>
      </c>
      <c r="T56" s="10">
        <f t="shared" si="1"/>
        <v>375.83333333333331</v>
      </c>
      <c r="U56" s="10">
        <f t="shared" si="2"/>
        <v>12.527777777777777</v>
      </c>
      <c r="V56" s="10">
        <f t="shared" si="3"/>
        <v>153.41259479724684</v>
      </c>
      <c r="W56" s="11">
        <f t="shared" si="4"/>
        <v>0.7</v>
      </c>
      <c r="X56" s="11">
        <f t="shared" si="5"/>
        <v>1.6647262616234886</v>
      </c>
      <c r="Y56" s="10">
        <f t="shared" si="6"/>
        <v>213.67458361375986</v>
      </c>
      <c r="Z56" s="10">
        <f t="shared" si="7"/>
        <v>476.75791694709318</v>
      </c>
    </row>
    <row r="57" spans="1:26" x14ac:dyDescent="0.25">
      <c r="A57" s="2" t="s">
        <v>52</v>
      </c>
      <c r="B57">
        <v>19</v>
      </c>
      <c r="C57">
        <v>393</v>
      </c>
      <c r="D57">
        <v>275</v>
      </c>
      <c r="E57">
        <v>505</v>
      </c>
      <c r="F57">
        <v>764</v>
      </c>
      <c r="G57">
        <v>663</v>
      </c>
      <c r="H57">
        <v>827</v>
      </c>
      <c r="I57">
        <v>810</v>
      </c>
      <c r="J57">
        <v>731</v>
      </c>
      <c r="K57">
        <v>288</v>
      </c>
      <c r="L57">
        <v>878</v>
      </c>
      <c r="M57">
        <v>213</v>
      </c>
      <c r="N57">
        <v>273</v>
      </c>
      <c r="O57" s="12">
        <v>0.95266482345213654</v>
      </c>
      <c r="P57" s="3">
        <v>1</v>
      </c>
      <c r="Q57" s="4">
        <v>233</v>
      </c>
      <c r="S57">
        <f t="shared" si="8"/>
        <v>6620</v>
      </c>
      <c r="T57" s="10">
        <f t="shared" si="1"/>
        <v>551.66666666666663</v>
      </c>
      <c r="U57" s="10">
        <f t="shared" si="2"/>
        <v>18.388888888888889</v>
      </c>
      <c r="V57" s="10">
        <f t="shared" si="3"/>
        <v>253.06245486165278</v>
      </c>
      <c r="W57" s="11">
        <f t="shared" si="4"/>
        <v>0.6333333333333333</v>
      </c>
      <c r="X57" s="11">
        <f t="shared" si="5"/>
        <v>1.6712599011634488</v>
      </c>
      <c r="Y57" s="10">
        <f t="shared" si="6"/>
        <v>336.57967207485081</v>
      </c>
      <c r="Z57" s="10">
        <f t="shared" si="7"/>
        <v>685.96856096373972</v>
      </c>
    </row>
    <row r="58" spans="1:26" x14ac:dyDescent="0.25">
      <c r="A58" s="2" t="s">
        <v>53</v>
      </c>
      <c r="B58">
        <v>29</v>
      </c>
      <c r="C58">
        <v>724</v>
      </c>
      <c r="D58">
        <v>871</v>
      </c>
      <c r="E58">
        <v>603</v>
      </c>
      <c r="F58">
        <v>335</v>
      </c>
      <c r="G58">
        <v>800</v>
      </c>
      <c r="H58">
        <v>391</v>
      </c>
      <c r="I58">
        <v>514</v>
      </c>
      <c r="J58">
        <v>440</v>
      </c>
      <c r="K58">
        <v>282</v>
      </c>
      <c r="L58">
        <v>529</v>
      </c>
      <c r="M58">
        <v>588</v>
      </c>
      <c r="N58">
        <v>664</v>
      </c>
      <c r="O58" s="12">
        <v>0.97404029556981764</v>
      </c>
      <c r="P58" s="3">
        <v>1</v>
      </c>
      <c r="Q58" s="4">
        <v>160</v>
      </c>
      <c r="S58">
        <f t="shared" si="8"/>
        <v>6741</v>
      </c>
      <c r="T58" s="10">
        <f t="shared" si="1"/>
        <v>561.75</v>
      </c>
      <c r="U58" s="10">
        <f t="shared" si="2"/>
        <v>18.725000000000001</v>
      </c>
      <c r="V58" s="10">
        <f t="shared" si="3"/>
        <v>183.04898748199022</v>
      </c>
      <c r="W58" s="11">
        <f t="shared" si="4"/>
        <v>0.96666666666666667</v>
      </c>
      <c r="X58" s="11">
        <f t="shared" si="5"/>
        <v>1.9438013670604122</v>
      </c>
      <c r="Y58" s="10">
        <f t="shared" si="6"/>
        <v>349.83043152203527</v>
      </c>
      <c r="Z58" s="10">
        <f t="shared" si="7"/>
        <v>892.85543152203536</v>
      </c>
    </row>
    <row r="59" spans="1:26" x14ac:dyDescent="0.25">
      <c r="A59" s="2" t="s">
        <v>54</v>
      </c>
      <c r="B59">
        <v>25</v>
      </c>
      <c r="C59">
        <v>291</v>
      </c>
      <c r="D59">
        <v>656</v>
      </c>
      <c r="E59">
        <v>891</v>
      </c>
      <c r="F59">
        <v>591</v>
      </c>
      <c r="G59">
        <v>549</v>
      </c>
      <c r="H59">
        <v>422</v>
      </c>
      <c r="I59">
        <v>529</v>
      </c>
      <c r="J59">
        <v>888</v>
      </c>
      <c r="K59">
        <v>852</v>
      </c>
      <c r="L59">
        <v>847</v>
      </c>
      <c r="M59">
        <v>746</v>
      </c>
      <c r="N59">
        <v>420</v>
      </c>
      <c r="O59" s="12">
        <v>0.95316462711685412</v>
      </c>
      <c r="P59" s="3">
        <v>1</v>
      </c>
      <c r="Q59" s="4">
        <v>269</v>
      </c>
      <c r="S59">
        <f t="shared" si="8"/>
        <v>7682</v>
      </c>
      <c r="T59" s="10">
        <f t="shared" si="1"/>
        <v>640.16666666666663</v>
      </c>
      <c r="U59" s="10">
        <f t="shared" si="2"/>
        <v>21.338888888888889</v>
      </c>
      <c r="V59" s="10">
        <f t="shared" si="3"/>
        <v>205.49666369038405</v>
      </c>
      <c r="W59" s="11">
        <f t="shared" si="4"/>
        <v>0.83333333333333337</v>
      </c>
      <c r="X59" s="11">
        <f t="shared" si="5"/>
        <v>1.6763444358280346</v>
      </c>
      <c r="Y59" s="10">
        <f t="shared" si="6"/>
        <v>314.46868860732565</v>
      </c>
      <c r="Z59" s="10">
        <f t="shared" si="7"/>
        <v>847.94091082954787</v>
      </c>
    </row>
    <row r="60" spans="1:26" x14ac:dyDescent="0.25">
      <c r="A60" s="2" t="s">
        <v>55</v>
      </c>
      <c r="B60">
        <v>29</v>
      </c>
      <c r="C60">
        <v>231</v>
      </c>
      <c r="D60">
        <v>417</v>
      </c>
      <c r="E60">
        <v>248</v>
      </c>
      <c r="F60">
        <v>688</v>
      </c>
      <c r="G60">
        <v>328</v>
      </c>
      <c r="H60">
        <v>501</v>
      </c>
      <c r="I60">
        <v>214</v>
      </c>
      <c r="J60">
        <v>225</v>
      </c>
      <c r="K60">
        <v>390</v>
      </c>
      <c r="L60">
        <v>807</v>
      </c>
      <c r="M60">
        <v>760</v>
      </c>
      <c r="N60">
        <v>395</v>
      </c>
      <c r="O60" s="12">
        <v>0.96807586505096821</v>
      </c>
      <c r="P60" s="3">
        <v>3</v>
      </c>
      <c r="Q60" s="4">
        <v>291</v>
      </c>
      <c r="S60">
        <f t="shared" si="8"/>
        <v>5204</v>
      </c>
      <c r="T60" s="10">
        <f t="shared" si="1"/>
        <v>433.66666666666669</v>
      </c>
      <c r="U60" s="10">
        <f t="shared" si="2"/>
        <v>14.455555555555556</v>
      </c>
      <c r="V60" s="10">
        <f t="shared" si="3"/>
        <v>212.61930697133241</v>
      </c>
      <c r="W60" s="11">
        <f t="shared" si="4"/>
        <v>0.96666666666666667</v>
      </c>
      <c r="X60" s="11">
        <f t="shared" si="5"/>
        <v>1.8532378841670021</v>
      </c>
      <c r="Y60" s="10">
        <f t="shared" si="6"/>
        <v>387.41126013565815</v>
      </c>
      <c r="Z60" s="10">
        <f t="shared" si="7"/>
        <v>806.62237124676926</v>
      </c>
    </row>
    <row r="61" spans="1:26" x14ac:dyDescent="0.25">
      <c r="A61" s="2" t="s">
        <v>56</v>
      </c>
      <c r="B61">
        <v>24</v>
      </c>
      <c r="C61">
        <v>257</v>
      </c>
      <c r="D61">
        <v>770</v>
      </c>
      <c r="E61">
        <v>612</v>
      </c>
      <c r="F61">
        <v>774</v>
      </c>
      <c r="G61">
        <v>789</v>
      </c>
      <c r="H61">
        <v>353</v>
      </c>
      <c r="I61">
        <v>447</v>
      </c>
      <c r="J61">
        <v>572</v>
      </c>
      <c r="K61">
        <v>635</v>
      </c>
      <c r="L61">
        <v>242</v>
      </c>
      <c r="M61">
        <v>770</v>
      </c>
      <c r="N61">
        <v>845</v>
      </c>
      <c r="O61" s="12">
        <v>0.96779115222573031</v>
      </c>
      <c r="P61" s="3">
        <v>4</v>
      </c>
      <c r="Q61" s="4">
        <v>178</v>
      </c>
      <c r="S61">
        <f t="shared" si="8"/>
        <v>7066</v>
      </c>
      <c r="T61" s="10">
        <f t="shared" si="1"/>
        <v>588.83333333333337</v>
      </c>
      <c r="U61" s="10">
        <f t="shared" si="2"/>
        <v>19.62777777777778</v>
      </c>
      <c r="V61" s="10">
        <f t="shared" si="3"/>
        <v>216.31409542327071</v>
      </c>
      <c r="W61" s="11">
        <f t="shared" si="4"/>
        <v>0.8</v>
      </c>
      <c r="X61" s="11">
        <f t="shared" si="5"/>
        <v>1.8492778977339708</v>
      </c>
      <c r="Y61" s="10">
        <f t="shared" si="6"/>
        <v>357.79312584392056</v>
      </c>
      <c r="Z61" s="10">
        <f t="shared" si="7"/>
        <v>828.85979251058734</v>
      </c>
    </row>
    <row r="62" spans="1:26" x14ac:dyDescent="0.25">
      <c r="A62" s="2" t="s">
        <v>57</v>
      </c>
      <c r="B62">
        <v>27</v>
      </c>
      <c r="C62">
        <v>807</v>
      </c>
      <c r="D62">
        <v>289</v>
      </c>
      <c r="E62">
        <v>847</v>
      </c>
      <c r="F62">
        <v>787</v>
      </c>
      <c r="G62">
        <v>534</v>
      </c>
      <c r="H62">
        <v>547</v>
      </c>
      <c r="I62">
        <v>521</v>
      </c>
      <c r="J62">
        <v>560</v>
      </c>
      <c r="K62">
        <v>375</v>
      </c>
      <c r="L62">
        <v>265</v>
      </c>
      <c r="M62">
        <v>859</v>
      </c>
      <c r="N62">
        <v>495</v>
      </c>
      <c r="O62" s="12">
        <v>0.95467881013703582</v>
      </c>
      <c r="P62" s="3">
        <v>3</v>
      </c>
      <c r="Q62" s="4">
        <v>150</v>
      </c>
      <c r="S62">
        <f t="shared" si="8"/>
        <v>6886</v>
      </c>
      <c r="T62" s="10">
        <f t="shared" si="1"/>
        <v>573.83333333333337</v>
      </c>
      <c r="U62" s="10">
        <f t="shared" si="2"/>
        <v>19.12777777777778</v>
      </c>
      <c r="V62" s="10">
        <f t="shared" si="3"/>
        <v>209.60865411234303</v>
      </c>
      <c r="W62" s="11">
        <f t="shared" si="4"/>
        <v>0.9</v>
      </c>
      <c r="X62" s="11">
        <f t="shared" si="5"/>
        <v>1.6920188493225674</v>
      </c>
      <c r="Y62" s="10">
        <f t="shared" si="6"/>
        <v>336.46172017703304</v>
      </c>
      <c r="Z62" s="10">
        <f t="shared" si="7"/>
        <v>852.91172017703309</v>
      </c>
    </row>
    <row r="63" spans="1:26" x14ac:dyDescent="0.25">
      <c r="A63" s="2" t="s">
        <v>58</v>
      </c>
      <c r="B63">
        <v>30</v>
      </c>
      <c r="C63">
        <v>640</v>
      </c>
      <c r="D63">
        <v>253</v>
      </c>
      <c r="E63">
        <v>845</v>
      </c>
      <c r="F63">
        <v>830</v>
      </c>
      <c r="G63">
        <v>869</v>
      </c>
      <c r="H63">
        <v>733</v>
      </c>
      <c r="I63">
        <v>895</v>
      </c>
      <c r="J63">
        <v>840</v>
      </c>
      <c r="K63">
        <v>463</v>
      </c>
      <c r="L63">
        <v>800</v>
      </c>
      <c r="M63">
        <v>577</v>
      </c>
      <c r="N63">
        <v>375</v>
      </c>
      <c r="O63" s="12">
        <v>0.95904830380859274</v>
      </c>
      <c r="P63" s="3">
        <v>2</v>
      </c>
      <c r="Q63" s="4">
        <v>174</v>
      </c>
      <c r="S63">
        <f t="shared" si="8"/>
        <v>8120</v>
      </c>
      <c r="T63" s="10">
        <f t="shared" si="1"/>
        <v>676.66666666666663</v>
      </c>
      <c r="U63" s="10">
        <f t="shared" si="2"/>
        <v>22.555555555555554</v>
      </c>
      <c r="V63" s="10">
        <f t="shared" si="3"/>
        <v>215.11068327864632</v>
      </c>
      <c r="W63" s="11">
        <f t="shared" si="4"/>
        <v>1</v>
      </c>
      <c r="X63" s="11">
        <f t="shared" si="5"/>
        <v>1.7397473424946843</v>
      </c>
      <c r="Y63" s="10">
        <f t="shared" si="6"/>
        <v>374.23823957624069</v>
      </c>
      <c r="Z63" s="10">
        <f t="shared" si="7"/>
        <v>1050.9049062429074</v>
      </c>
    </row>
    <row r="64" spans="1:26" x14ac:dyDescent="0.25">
      <c r="A64" s="2" t="s">
        <v>59</v>
      </c>
      <c r="B64">
        <v>22</v>
      </c>
      <c r="C64">
        <v>888</v>
      </c>
      <c r="D64">
        <v>538</v>
      </c>
      <c r="E64">
        <v>233</v>
      </c>
      <c r="F64">
        <v>590</v>
      </c>
      <c r="G64">
        <v>514</v>
      </c>
      <c r="H64">
        <v>818</v>
      </c>
      <c r="I64">
        <v>424</v>
      </c>
      <c r="J64">
        <v>881</v>
      </c>
      <c r="K64">
        <v>745</v>
      </c>
      <c r="L64">
        <v>482</v>
      </c>
      <c r="M64">
        <v>781</v>
      </c>
      <c r="N64">
        <v>855</v>
      </c>
      <c r="O64" s="12">
        <v>0.95296744376032838</v>
      </c>
      <c r="P64" s="3">
        <v>1</v>
      </c>
      <c r="Q64" s="4">
        <v>224</v>
      </c>
      <c r="S64">
        <f t="shared" si="8"/>
        <v>7749</v>
      </c>
      <c r="T64" s="10">
        <f t="shared" si="1"/>
        <v>645.75</v>
      </c>
      <c r="U64" s="10">
        <f t="shared" si="2"/>
        <v>21.524999999999999</v>
      </c>
      <c r="V64" s="10">
        <f t="shared" si="3"/>
        <v>211.9288581318998</v>
      </c>
      <c r="W64" s="11">
        <f t="shared" si="4"/>
        <v>0.73333333333333328</v>
      </c>
      <c r="X64" s="11">
        <f t="shared" si="5"/>
        <v>1.6743333050203542</v>
      </c>
      <c r="Y64" s="10">
        <f t="shared" si="6"/>
        <v>303.86643264053157</v>
      </c>
      <c r="Z64" s="10">
        <f t="shared" si="7"/>
        <v>777.41643264053153</v>
      </c>
    </row>
    <row r="65" spans="1:26" x14ac:dyDescent="0.25">
      <c r="A65" s="2" t="s">
        <v>60</v>
      </c>
      <c r="B65">
        <v>28</v>
      </c>
      <c r="C65">
        <v>809</v>
      </c>
      <c r="D65">
        <v>415</v>
      </c>
      <c r="E65">
        <v>482</v>
      </c>
      <c r="F65">
        <v>512</v>
      </c>
      <c r="G65">
        <v>319</v>
      </c>
      <c r="H65">
        <v>442</v>
      </c>
      <c r="I65">
        <v>829</v>
      </c>
      <c r="J65">
        <v>699</v>
      </c>
      <c r="K65">
        <v>876</v>
      </c>
      <c r="L65">
        <v>453</v>
      </c>
      <c r="M65">
        <v>799</v>
      </c>
      <c r="N65">
        <v>355</v>
      </c>
      <c r="O65" s="12">
        <v>0.96879955653219296</v>
      </c>
      <c r="P65" s="3">
        <v>1</v>
      </c>
      <c r="Q65" s="4">
        <v>208</v>
      </c>
      <c r="S65">
        <f t="shared" si="8"/>
        <v>6990</v>
      </c>
      <c r="T65" s="10">
        <f t="shared" si="1"/>
        <v>582.5</v>
      </c>
      <c r="U65" s="10">
        <f t="shared" si="2"/>
        <v>19.416666666666668</v>
      </c>
      <c r="V65" s="10">
        <f t="shared" si="3"/>
        <v>204.37865926665719</v>
      </c>
      <c r="W65" s="11">
        <f t="shared" si="4"/>
        <v>0.93333333333333335</v>
      </c>
      <c r="X65" s="11">
        <f t="shared" si="5"/>
        <v>1.8634364417621012</v>
      </c>
      <c r="Y65" s="10">
        <f t="shared" si="6"/>
        <v>367.93281105921079</v>
      </c>
      <c r="Z65" s="10">
        <f t="shared" si="7"/>
        <v>911.59947772587748</v>
      </c>
    </row>
    <row r="66" spans="1:26" x14ac:dyDescent="0.25">
      <c r="A66" s="2" t="s">
        <v>61</v>
      </c>
      <c r="B66">
        <v>26</v>
      </c>
      <c r="C66">
        <v>481</v>
      </c>
      <c r="D66">
        <v>504</v>
      </c>
      <c r="E66">
        <v>863</v>
      </c>
      <c r="F66">
        <v>465</v>
      </c>
      <c r="G66">
        <v>411</v>
      </c>
      <c r="H66">
        <v>722</v>
      </c>
      <c r="I66">
        <v>278</v>
      </c>
      <c r="J66">
        <v>387</v>
      </c>
      <c r="K66">
        <v>574</v>
      </c>
      <c r="L66">
        <v>504</v>
      </c>
      <c r="M66">
        <v>547</v>
      </c>
      <c r="N66">
        <v>331</v>
      </c>
      <c r="O66" s="12">
        <v>0.96469504774686798</v>
      </c>
      <c r="P66" s="3">
        <v>3</v>
      </c>
      <c r="Q66" s="4">
        <v>250</v>
      </c>
      <c r="S66">
        <f t="shared" si="8"/>
        <v>6067</v>
      </c>
      <c r="T66" s="10">
        <f t="shared" si="1"/>
        <v>505.58333333333331</v>
      </c>
      <c r="U66" s="10">
        <f t="shared" si="2"/>
        <v>16.852777777777778</v>
      </c>
      <c r="V66" s="10">
        <f t="shared" si="3"/>
        <v>161.95311236916874</v>
      </c>
      <c r="W66" s="11">
        <f t="shared" si="4"/>
        <v>0.8666666666666667</v>
      </c>
      <c r="X66" s="11">
        <f t="shared" si="5"/>
        <v>1.8079781296284878</v>
      </c>
      <c r="Y66" s="10">
        <f t="shared" si="6"/>
        <v>272.58912017570947</v>
      </c>
      <c r="Z66" s="10">
        <f t="shared" si="7"/>
        <v>710.76134239793168</v>
      </c>
    </row>
    <row r="67" spans="1:26" x14ac:dyDescent="0.25">
      <c r="A67" s="2" t="s">
        <v>62</v>
      </c>
      <c r="B67">
        <v>22</v>
      </c>
      <c r="C67">
        <v>308</v>
      </c>
      <c r="D67">
        <v>411</v>
      </c>
      <c r="E67">
        <v>201</v>
      </c>
      <c r="F67">
        <v>859</v>
      </c>
      <c r="G67">
        <v>426</v>
      </c>
      <c r="H67">
        <v>676</v>
      </c>
      <c r="I67">
        <v>452</v>
      </c>
      <c r="J67">
        <v>704</v>
      </c>
      <c r="K67">
        <v>623</v>
      </c>
      <c r="L67">
        <v>863</v>
      </c>
      <c r="M67">
        <v>511</v>
      </c>
      <c r="N67">
        <v>799</v>
      </c>
      <c r="O67" s="12">
        <v>0.97696041734222994</v>
      </c>
      <c r="P67" s="3">
        <v>1</v>
      </c>
      <c r="Q67" s="4">
        <v>201</v>
      </c>
      <c r="S67">
        <f t="shared" si="8"/>
        <v>6833</v>
      </c>
      <c r="T67" s="10">
        <f t="shared" si="1"/>
        <v>569.41666666666663</v>
      </c>
      <c r="U67" s="10">
        <f t="shared" si="2"/>
        <v>18.980555555555554</v>
      </c>
      <c r="V67" s="10">
        <f t="shared" si="3"/>
        <v>217.84792791525396</v>
      </c>
      <c r="W67" s="11">
        <f t="shared" si="4"/>
        <v>0.73333333333333328</v>
      </c>
      <c r="X67" s="11">
        <f t="shared" si="5"/>
        <v>1.9946674171606065</v>
      </c>
      <c r="Y67" s="10">
        <f t="shared" si="6"/>
        <v>372.11282641410355</v>
      </c>
      <c r="Z67" s="10">
        <f t="shared" si="7"/>
        <v>789.68504863632575</v>
      </c>
    </row>
    <row r="68" spans="1:26" x14ac:dyDescent="0.25">
      <c r="A68" s="2" t="s">
        <v>63</v>
      </c>
      <c r="B68">
        <v>25</v>
      </c>
      <c r="C68">
        <v>249</v>
      </c>
      <c r="D68">
        <v>810</v>
      </c>
      <c r="E68">
        <v>258</v>
      </c>
      <c r="F68">
        <v>596</v>
      </c>
      <c r="G68">
        <v>522</v>
      </c>
      <c r="H68">
        <v>412</v>
      </c>
      <c r="I68">
        <v>233</v>
      </c>
      <c r="J68">
        <v>463</v>
      </c>
      <c r="K68">
        <v>269</v>
      </c>
      <c r="L68">
        <v>525</v>
      </c>
      <c r="M68">
        <v>428</v>
      </c>
      <c r="N68">
        <v>501</v>
      </c>
      <c r="O68" s="12">
        <v>0.97800241684732581</v>
      </c>
      <c r="P68" s="3">
        <v>2</v>
      </c>
      <c r="Q68" s="4">
        <v>206</v>
      </c>
      <c r="S68">
        <f t="shared" si="8"/>
        <v>5266</v>
      </c>
      <c r="T68" s="10">
        <f t="shared" si="1"/>
        <v>438.83333333333331</v>
      </c>
      <c r="U68" s="10">
        <f t="shared" si="2"/>
        <v>14.627777777777776</v>
      </c>
      <c r="V68" s="10">
        <f t="shared" si="3"/>
        <v>171.10381395958169</v>
      </c>
      <c r="W68" s="11">
        <f t="shared" si="4"/>
        <v>0.83333333333333337</v>
      </c>
      <c r="X68" s="11">
        <f t="shared" si="5"/>
        <v>2.014136862109202</v>
      </c>
      <c r="Y68" s="10">
        <f t="shared" si="6"/>
        <v>314.59951230894666</v>
      </c>
      <c r="Z68" s="10">
        <f t="shared" si="7"/>
        <v>680.29395675339106</v>
      </c>
    </row>
    <row r="69" spans="1:26" x14ac:dyDescent="0.25">
      <c r="A69" s="2" t="s">
        <v>64</v>
      </c>
      <c r="B69">
        <v>22</v>
      </c>
      <c r="C69">
        <v>735</v>
      </c>
      <c r="D69">
        <v>307</v>
      </c>
      <c r="E69">
        <v>809</v>
      </c>
      <c r="F69">
        <v>270</v>
      </c>
      <c r="G69">
        <v>502</v>
      </c>
      <c r="H69">
        <v>367</v>
      </c>
      <c r="I69">
        <v>499</v>
      </c>
      <c r="J69">
        <v>834</v>
      </c>
      <c r="K69">
        <v>227</v>
      </c>
      <c r="L69">
        <v>862</v>
      </c>
      <c r="M69">
        <v>574</v>
      </c>
      <c r="N69">
        <v>210</v>
      </c>
      <c r="O69" s="12">
        <v>0.96766030338479569</v>
      </c>
      <c r="P69" s="3">
        <v>3</v>
      </c>
      <c r="Q69" s="4">
        <v>290</v>
      </c>
      <c r="S69">
        <f t="shared" ref="S69:S100" si="9">SUM(C69:N69)</f>
        <v>6196</v>
      </c>
      <c r="T69" s="10">
        <f t="shared" si="1"/>
        <v>516.33333333333337</v>
      </c>
      <c r="U69" s="10">
        <f t="shared" si="2"/>
        <v>17.211111111111112</v>
      </c>
      <c r="V69" s="10">
        <f t="shared" si="3"/>
        <v>245.32958659853085</v>
      </c>
      <c r="W69" s="11">
        <f t="shared" si="4"/>
        <v>0.73333333333333328</v>
      </c>
      <c r="X69" s="11">
        <f t="shared" si="5"/>
        <v>1.8474676446771476</v>
      </c>
      <c r="Y69" s="10">
        <f t="shared" si="6"/>
        <v>388.13024039997339</v>
      </c>
      <c r="Z69" s="10">
        <f t="shared" si="7"/>
        <v>766.77468484441783</v>
      </c>
    </row>
    <row r="70" spans="1:26" x14ac:dyDescent="0.25">
      <c r="A70" s="2" t="s">
        <v>65</v>
      </c>
      <c r="B70">
        <v>24</v>
      </c>
      <c r="C70">
        <v>434</v>
      </c>
      <c r="D70">
        <v>624</v>
      </c>
      <c r="E70">
        <v>392</v>
      </c>
      <c r="F70">
        <v>462</v>
      </c>
      <c r="G70">
        <v>888</v>
      </c>
      <c r="H70">
        <v>381</v>
      </c>
      <c r="I70">
        <v>806</v>
      </c>
      <c r="J70">
        <v>211</v>
      </c>
      <c r="K70">
        <v>608</v>
      </c>
      <c r="L70">
        <v>811</v>
      </c>
      <c r="M70">
        <v>723</v>
      </c>
      <c r="N70">
        <v>845</v>
      </c>
      <c r="O70" s="12">
        <v>0.97708128031717856</v>
      </c>
      <c r="P70" s="3">
        <v>2</v>
      </c>
      <c r="Q70" s="4">
        <v>241</v>
      </c>
      <c r="S70">
        <f t="shared" si="9"/>
        <v>7185</v>
      </c>
      <c r="T70" s="10">
        <f t="shared" ref="T70:T133" si="10">AVERAGE(C70:N70)</f>
        <v>598.75</v>
      </c>
      <c r="U70" s="10">
        <f t="shared" ref="U70:U133" si="11">T70/30</f>
        <v>19.958333333333332</v>
      </c>
      <c r="V70" s="10">
        <f t="shared" ref="V70:V133" si="12">STDEV(C70:N70)</f>
        <v>220.49989692844426</v>
      </c>
      <c r="W70" s="11">
        <f t="shared" ref="W70:W133" si="13">B70/30</f>
        <v>0.8</v>
      </c>
      <c r="X70" s="11">
        <f t="shared" ref="X70:X133" si="14">NORMSINV(O70)</f>
        <v>1.9968871872500924</v>
      </c>
      <c r="Y70" s="10">
        <f t="shared" ref="Y70:Y133" si="15">X70*V70*SQRT(W70)</f>
        <v>393.82829448566508</v>
      </c>
      <c r="Z70" s="10">
        <f t="shared" ref="Z70:Z133" si="16">U70*B70+Y70</f>
        <v>872.82829448566508</v>
      </c>
    </row>
    <row r="71" spans="1:26" x14ac:dyDescent="0.25">
      <c r="A71" s="2" t="s">
        <v>66</v>
      </c>
      <c r="B71">
        <v>28</v>
      </c>
      <c r="C71">
        <v>900</v>
      </c>
      <c r="D71">
        <v>339</v>
      </c>
      <c r="E71">
        <v>203</v>
      </c>
      <c r="F71">
        <v>680</v>
      </c>
      <c r="G71">
        <v>532</v>
      </c>
      <c r="H71">
        <v>748</v>
      </c>
      <c r="I71">
        <v>614</v>
      </c>
      <c r="J71">
        <v>748</v>
      </c>
      <c r="K71">
        <v>378</v>
      </c>
      <c r="L71">
        <v>262</v>
      </c>
      <c r="M71">
        <v>805</v>
      </c>
      <c r="N71">
        <v>300</v>
      </c>
      <c r="O71" s="12">
        <v>0.96946292179417792</v>
      </c>
      <c r="P71" s="3">
        <v>4</v>
      </c>
      <c r="Q71" s="4">
        <v>236</v>
      </c>
      <c r="S71">
        <f t="shared" si="9"/>
        <v>6509</v>
      </c>
      <c r="T71" s="10">
        <f t="shared" si="10"/>
        <v>542.41666666666663</v>
      </c>
      <c r="U71" s="10">
        <f t="shared" si="11"/>
        <v>18.080555555555556</v>
      </c>
      <c r="V71" s="10">
        <f t="shared" si="12"/>
        <v>238.65549851134156</v>
      </c>
      <c r="W71" s="11">
        <f t="shared" si="13"/>
        <v>0.93333333333333335</v>
      </c>
      <c r="X71" s="11">
        <f t="shared" si="14"/>
        <v>1.872958206754805</v>
      </c>
      <c r="Y71" s="10">
        <f t="shared" si="15"/>
        <v>431.83508047164685</v>
      </c>
      <c r="Z71" s="10">
        <f t="shared" si="16"/>
        <v>938.09063602720244</v>
      </c>
    </row>
    <row r="72" spans="1:26" x14ac:dyDescent="0.25">
      <c r="A72" s="2" t="s">
        <v>67</v>
      </c>
      <c r="B72">
        <v>27</v>
      </c>
      <c r="C72">
        <v>776</v>
      </c>
      <c r="D72">
        <v>785</v>
      </c>
      <c r="E72">
        <v>883</v>
      </c>
      <c r="F72">
        <v>372</v>
      </c>
      <c r="G72">
        <v>363</v>
      </c>
      <c r="H72">
        <v>536</v>
      </c>
      <c r="I72">
        <v>533</v>
      </c>
      <c r="J72">
        <v>566</v>
      </c>
      <c r="K72">
        <v>633</v>
      </c>
      <c r="L72">
        <v>380</v>
      </c>
      <c r="M72">
        <v>220</v>
      </c>
      <c r="N72">
        <v>611</v>
      </c>
      <c r="O72" s="12">
        <v>0.95624854013311289</v>
      </c>
      <c r="P72" s="3">
        <v>2</v>
      </c>
      <c r="Q72" s="4">
        <v>206</v>
      </c>
      <c r="S72">
        <f t="shared" si="9"/>
        <v>6658</v>
      </c>
      <c r="T72" s="10">
        <f t="shared" si="10"/>
        <v>554.83333333333337</v>
      </c>
      <c r="U72" s="10">
        <f t="shared" si="11"/>
        <v>18.494444444444447</v>
      </c>
      <c r="V72" s="10">
        <f t="shared" si="12"/>
        <v>198.33710207776571</v>
      </c>
      <c r="W72" s="11">
        <f t="shared" si="13"/>
        <v>0.9</v>
      </c>
      <c r="X72" s="11">
        <f t="shared" si="14"/>
        <v>1.7087195028127171</v>
      </c>
      <c r="Y72" s="10">
        <f t="shared" si="15"/>
        <v>321.51111718025703</v>
      </c>
      <c r="Z72" s="10">
        <f t="shared" si="16"/>
        <v>820.86111718025711</v>
      </c>
    </row>
    <row r="73" spans="1:26" x14ac:dyDescent="0.25">
      <c r="A73" s="2" t="s">
        <v>68</v>
      </c>
      <c r="B73">
        <v>26</v>
      </c>
      <c r="C73">
        <v>456</v>
      </c>
      <c r="D73">
        <v>819</v>
      </c>
      <c r="E73">
        <v>844</v>
      </c>
      <c r="F73">
        <v>840</v>
      </c>
      <c r="G73">
        <v>575</v>
      </c>
      <c r="H73">
        <v>419</v>
      </c>
      <c r="I73">
        <v>609</v>
      </c>
      <c r="J73">
        <v>317</v>
      </c>
      <c r="K73">
        <v>464</v>
      </c>
      <c r="L73">
        <v>729</v>
      </c>
      <c r="M73">
        <v>784</v>
      </c>
      <c r="N73">
        <v>658</v>
      </c>
      <c r="O73" s="12">
        <v>0.96821073344182229</v>
      </c>
      <c r="P73" s="3">
        <v>3</v>
      </c>
      <c r="Q73" s="4">
        <v>287</v>
      </c>
      <c r="S73">
        <f t="shared" si="9"/>
        <v>7514</v>
      </c>
      <c r="T73" s="10">
        <f t="shared" si="10"/>
        <v>626.16666666666663</v>
      </c>
      <c r="U73" s="10">
        <f t="shared" si="11"/>
        <v>20.87222222222222</v>
      </c>
      <c r="V73" s="10">
        <f t="shared" si="12"/>
        <v>181.79150561880371</v>
      </c>
      <c r="W73" s="11">
        <f t="shared" si="13"/>
        <v>0.8666666666666667</v>
      </c>
      <c r="X73" s="11">
        <f t="shared" si="14"/>
        <v>1.8551239172388747</v>
      </c>
      <c r="Y73" s="10">
        <f t="shared" si="15"/>
        <v>313.95872575767561</v>
      </c>
      <c r="Z73" s="10">
        <f t="shared" si="16"/>
        <v>856.63650353545336</v>
      </c>
    </row>
    <row r="74" spans="1:26" x14ac:dyDescent="0.25">
      <c r="A74" s="2" t="s">
        <v>69</v>
      </c>
      <c r="B74">
        <v>21</v>
      </c>
      <c r="C74">
        <v>519</v>
      </c>
      <c r="D74">
        <v>742</v>
      </c>
      <c r="E74">
        <v>711</v>
      </c>
      <c r="F74">
        <v>893</v>
      </c>
      <c r="G74">
        <v>514</v>
      </c>
      <c r="H74">
        <v>329</v>
      </c>
      <c r="I74">
        <v>767</v>
      </c>
      <c r="J74">
        <v>235</v>
      </c>
      <c r="K74">
        <v>697</v>
      </c>
      <c r="L74">
        <v>611</v>
      </c>
      <c r="M74">
        <v>563</v>
      </c>
      <c r="N74">
        <v>633</v>
      </c>
      <c r="O74" s="12">
        <v>0.9791511990884546</v>
      </c>
      <c r="P74" s="3">
        <v>3</v>
      </c>
      <c r="Q74" s="4">
        <v>290</v>
      </c>
      <c r="S74">
        <f t="shared" si="9"/>
        <v>7214</v>
      </c>
      <c r="T74" s="10">
        <f t="shared" si="10"/>
        <v>601.16666666666663</v>
      </c>
      <c r="U74" s="10">
        <f t="shared" si="11"/>
        <v>20.038888888888888</v>
      </c>
      <c r="V74" s="10">
        <f t="shared" si="12"/>
        <v>185.57470112321272</v>
      </c>
      <c r="W74" s="11">
        <f t="shared" si="13"/>
        <v>0.7</v>
      </c>
      <c r="X74" s="11">
        <f t="shared" si="14"/>
        <v>2.0365256331655002</v>
      </c>
      <c r="Y74" s="10">
        <f t="shared" si="15"/>
        <v>316.19694571644493</v>
      </c>
      <c r="Z74" s="10">
        <f t="shared" si="16"/>
        <v>737.01361238311165</v>
      </c>
    </row>
    <row r="75" spans="1:26" x14ac:dyDescent="0.25">
      <c r="A75" s="2" t="s">
        <v>70</v>
      </c>
      <c r="B75">
        <v>21</v>
      </c>
      <c r="C75">
        <v>529</v>
      </c>
      <c r="D75">
        <v>732</v>
      </c>
      <c r="E75">
        <v>485</v>
      </c>
      <c r="F75">
        <v>450</v>
      </c>
      <c r="G75">
        <v>869</v>
      </c>
      <c r="H75">
        <v>743</v>
      </c>
      <c r="I75">
        <v>619</v>
      </c>
      <c r="J75">
        <v>884</v>
      </c>
      <c r="K75">
        <v>776</v>
      </c>
      <c r="L75">
        <v>522</v>
      </c>
      <c r="M75">
        <v>304</v>
      </c>
      <c r="N75">
        <v>642</v>
      </c>
      <c r="O75" s="12">
        <v>0.9752384767854746</v>
      </c>
      <c r="P75" s="3">
        <v>4</v>
      </c>
      <c r="Q75" s="4">
        <v>155</v>
      </c>
      <c r="S75">
        <f t="shared" si="9"/>
        <v>7555</v>
      </c>
      <c r="T75" s="10">
        <f t="shared" si="10"/>
        <v>629.58333333333337</v>
      </c>
      <c r="U75" s="10">
        <f t="shared" si="11"/>
        <v>20.986111111111111</v>
      </c>
      <c r="V75" s="10">
        <f t="shared" si="12"/>
        <v>177.85461802133557</v>
      </c>
      <c r="W75" s="11">
        <f t="shared" si="13"/>
        <v>0.7</v>
      </c>
      <c r="X75" s="11">
        <f t="shared" si="14"/>
        <v>1.9640607571822422</v>
      </c>
      <c r="Y75" s="10">
        <f t="shared" si="15"/>
        <v>292.25980118888953</v>
      </c>
      <c r="Z75" s="10">
        <f t="shared" si="16"/>
        <v>732.96813452222284</v>
      </c>
    </row>
    <row r="76" spans="1:26" x14ac:dyDescent="0.25">
      <c r="A76" s="2" t="s">
        <v>71</v>
      </c>
      <c r="B76">
        <v>19</v>
      </c>
      <c r="C76">
        <v>201</v>
      </c>
      <c r="D76">
        <v>692</v>
      </c>
      <c r="E76">
        <v>719</v>
      </c>
      <c r="F76">
        <v>745</v>
      </c>
      <c r="G76">
        <v>503</v>
      </c>
      <c r="H76">
        <v>681</v>
      </c>
      <c r="I76">
        <v>355</v>
      </c>
      <c r="J76">
        <v>874</v>
      </c>
      <c r="K76">
        <v>606</v>
      </c>
      <c r="L76">
        <v>836</v>
      </c>
      <c r="M76">
        <v>762</v>
      </c>
      <c r="N76">
        <v>781</v>
      </c>
      <c r="O76" s="12">
        <v>0.95703033130772297</v>
      </c>
      <c r="P76" s="3">
        <v>2</v>
      </c>
      <c r="Q76" s="4">
        <v>205</v>
      </c>
      <c r="S76">
        <f t="shared" si="9"/>
        <v>7755</v>
      </c>
      <c r="T76" s="10">
        <f t="shared" si="10"/>
        <v>646.25</v>
      </c>
      <c r="U76" s="10">
        <f t="shared" si="11"/>
        <v>21.541666666666668</v>
      </c>
      <c r="V76" s="10">
        <f t="shared" si="12"/>
        <v>200.6784515315257</v>
      </c>
      <c r="W76" s="11">
        <f t="shared" si="13"/>
        <v>0.6333333333333333</v>
      </c>
      <c r="X76" s="11">
        <f t="shared" si="14"/>
        <v>1.7172180575572826</v>
      </c>
      <c r="Y76" s="10">
        <f t="shared" si="15"/>
        <v>274.24730032010723</v>
      </c>
      <c r="Z76" s="10">
        <f t="shared" si="16"/>
        <v>683.53896698677386</v>
      </c>
    </row>
    <row r="77" spans="1:26" x14ac:dyDescent="0.25">
      <c r="A77" s="2" t="s">
        <v>72</v>
      </c>
      <c r="B77">
        <v>30</v>
      </c>
      <c r="C77">
        <v>786</v>
      </c>
      <c r="D77">
        <v>754</v>
      </c>
      <c r="E77">
        <v>838</v>
      </c>
      <c r="F77">
        <v>312</v>
      </c>
      <c r="G77">
        <v>344</v>
      </c>
      <c r="H77">
        <v>423</v>
      </c>
      <c r="I77">
        <v>528</v>
      </c>
      <c r="J77">
        <v>422</v>
      </c>
      <c r="K77">
        <v>584</v>
      </c>
      <c r="L77">
        <v>496</v>
      </c>
      <c r="M77">
        <v>330</v>
      </c>
      <c r="N77">
        <v>686</v>
      </c>
      <c r="O77" s="12">
        <v>0.96142570537939331</v>
      </c>
      <c r="P77" s="3">
        <v>4</v>
      </c>
      <c r="Q77" s="4">
        <v>174</v>
      </c>
      <c r="S77">
        <f t="shared" si="9"/>
        <v>6503</v>
      </c>
      <c r="T77" s="10">
        <f t="shared" si="10"/>
        <v>541.91666666666663</v>
      </c>
      <c r="U77" s="10">
        <f t="shared" si="11"/>
        <v>18.063888888888886</v>
      </c>
      <c r="V77" s="10">
        <f t="shared" si="12"/>
        <v>186.47859167077365</v>
      </c>
      <c r="W77" s="11">
        <f t="shared" si="13"/>
        <v>1</v>
      </c>
      <c r="X77" s="11">
        <f t="shared" si="14"/>
        <v>1.7674757349413237</v>
      </c>
      <c r="Y77" s="10">
        <f t="shared" si="15"/>
        <v>329.59638586412365</v>
      </c>
      <c r="Z77" s="10">
        <f t="shared" si="16"/>
        <v>871.51305253079022</v>
      </c>
    </row>
    <row r="78" spans="1:26" x14ac:dyDescent="0.25">
      <c r="A78" s="2" t="s">
        <v>73</v>
      </c>
      <c r="B78">
        <v>21</v>
      </c>
      <c r="C78">
        <v>716</v>
      </c>
      <c r="D78">
        <v>581</v>
      </c>
      <c r="E78">
        <v>264</v>
      </c>
      <c r="F78">
        <v>727</v>
      </c>
      <c r="G78">
        <v>601</v>
      </c>
      <c r="H78">
        <v>850</v>
      </c>
      <c r="I78">
        <v>326</v>
      </c>
      <c r="J78">
        <v>783</v>
      </c>
      <c r="K78">
        <v>346</v>
      </c>
      <c r="L78">
        <v>404</v>
      </c>
      <c r="M78">
        <v>443</v>
      </c>
      <c r="N78">
        <v>851</v>
      </c>
      <c r="O78" s="12">
        <v>0.97433750222035032</v>
      </c>
      <c r="P78" s="3">
        <v>2</v>
      </c>
      <c r="Q78" s="4">
        <v>166</v>
      </c>
      <c r="S78">
        <f t="shared" si="9"/>
        <v>6892</v>
      </c>
      <c r="T78" s="10">
        <f t="shared" si="10"/>
        <v>574.33333333333337</v>
      </c>
      <c r="U78" s="10">
        <f t="shared" si="11"/>
        <v>19.144444444444446</v>
      </c>
      <c r="V78" s="10">
        <f t="shared" si="12"/>
        <v>212.47131713730349</v>
      </c>
      <c r="W78" s="11">
        <f t="shared" si="13"/>
        <v>0.7</v>
      </c>
      <c r="X78" s="11">
        <f t="shared" si="14"/>
        <v>1.9487524433857963</v>
      </c>
      <c r="Y78" s="10">
        <f t="shared" si="15"/>
        <v>346.42242930521849</v>
      </c>
      <c r="Z78" s="10">
        <f t="shared" si="16"/>
        <v>748.45576263855185</v>
      </c>
    </row>
    <row r="79" spans="1:26" x14ac:dyDescent="0.25">
      <c r="A79" s="2" t="s">
        <v>74</v>
      </c>
      <c r="B79">
        <v>19</v>
      </c>
      <c r="C79">
        <v>854</v>
      </c>
      <c r="D79">
        <v>635</v>
      </c>
      <c r="E79">
        <v>762</v>
      </c>
      <c r="F79">
        <v>597</v>
      </c>
      <c r="G79">
        <v>374</v>
      </c>
      <c r="H79">
        <v>583</v>
      </c>
      <c r="I79">
        <v>472</v>
      </c>
      <c r="J79">
        <v>561</v>
      </c>
      <c r="K79">
        <v>488</v>
      </c>
      <c r="L79">
        <v>210</v>
      </c>
      <c r="M79">
        <v>720</v>
      </c>
      <c r="N79">
        <v>583</v>
      </c>
      <c r="O79" s="12">
        <v>0.9745434983948581</v>
      </c>
      <c r="P79" s="3">
        <v>1</v>
      </c>
      <c r="Q79" s="4">
        <v>168</v>
      </c>
      <c r="S79">
        <f t="shared" si="9"/>
        <v>6839</v>
      </c>
      <c r="T79" s="10">
        <f t="shared" si="10"/>
        <v>569.91666666666663</v>
      </c>
      <c r="U79" s="10">
        <f t="shared" si="11"/>
        <v>18.99722222222222</v>
      </c>
      <c r="V79" s="10">
        <f t="shared" si="12"/>
        <v>173.13602552136086</v>
      </c>
      <c r="W79" s="11">
        <f t="shared" si="13"/>
        <v>0.6333333333333333</v>
      </c>
      <c r="X79" s="11">
        <f t="shared" si="14"/>
        <v>1.9522123105801084</v>
      </c>
      <c r="Y79" s="10">
        <f t="shared" si="15"/>
        <v>268.98661143073775</v>
      </c>
      <c r="Z79" s="10">
        <f t="shared" si="16"/>
        <v>629.93383365295995</v>
      </c>
    </row>
    <row r="80" spans="1:26" x14ac:dyDescent="0.25">
      <c r="A80" s="2" t="s">
        <v>75</v>
      </c>
      <c r="B80">
        <v>28</v>
      </c>
      <c r="C80">
        <v>725</v>
      </c>
      <c r="D80">
        <v>767</v>
      </c>
      <c r="E80">
        <v>611</v>
      </c>
      <c r="F80">
        <v>843</v>
      </c>
      <c r="G80">
        <v>849</v>
      </c>
      <c r="H80">
        <v>716</v>
      </c>
      <c r="I80">
        <v>800</v>
      </c>
      <c r="J80">
        <v>710</v>
      </c>
      <c r="K80">
        <v>868</v>
      </c>
      <c r="L80">
        <v>443</v>
      </c>
      <c r="M80">
        <v>286</v>
      </c>
      <c r="N80">
        <v>490</v>
      </c>
      <c r="O80" s="12">
        <v>0.97071999416398702</v>
      </c>
      <c r="P80" s="3">
        <v>1</v>
      </c>
      <c r="Q80" s="4">
        <v>253</v>
      </c>
      <c r="S80">
        <f t="shared" si="9"/>
        <v>8108</v>
      </c>
      <c r="T80" s="10">
        <f t="shared" si="10"/>
        <v>675.66666666666663</v>
      </c>
      <c r="U80" s="10">
        <f t="shared" si="11"/>
        <v>22.522222222222222</v>
      </c>
      <c r="V80" s="10">
        <f t="shared" si="12"/>
        <v>183.08087300590984</v>
      </c>
      <c r="W80" s="11">
        <f t="shared" si="13"/>
        <v>0.93333333333333335</v>
      </c>
      <c r="X80" s="11">
        <f t="shared" si="14"/>
        <v>1.8914821491734126</v>
      </c>
      <c r="Y80" s="10">
        <f t="shared" si="15"/>
        <v>334.55198418711404</v>
      </c>
      <c r="Z80" s="10">
        <f t="shared" si="16"/>
        <v>965.17420640933631</v>
      </c>
    </row>
    <row r="81" spans="1:26" x14ac:dyDescent="0.25">
      <c r="A81" s="2" t="s">
        <v>76</v>
      </c>
      <c r="B81">
        <v>21</v>
      </c>
      <c r="C81">
        <v>484</v>
      </c>
      <c r="D81">
        <v>767</v>
      </c>
      <c r="E81">
        <v>756</v>
      </c>
      <c r="F81">
        <v>517</v>
      </c>
      <c r="G81">
        <v>289</v>
      </c>
      <c r="H81">
        <v>355</v>
      </c>
      <c r="I81">
        <v>229</v>
      </c>
      <c r="J81">
        <v>493</v>
      </c>
      <c r="K81">
        <v>255</v>
      </c>
      <c r="L81">
        <v>662</v>
      </c>
      <c r="M81">
        <v>739</v>
      </c>
      <c r="N81">
        <v>324</v>
      </c>
      <c r="O81" s="12">
        <v>0.9535679297094608</v>
      </c>
      <c r="P81" s="3">
        <v>1</v>
      </c>
      <c r="Q81" s="4">
        <v>236</v>
      </c>
      <c r="S81">
        <f t="shared" si="9"/>
        <v>5870</v>
      </c>
      <c r="T81" s="10">
        <f t="shared" si="10"/>
        <v>489.16666666666669</v>
      </c>
      <c r="U81" s="10">
        <f t="shared" si="11"/>
        <v>16.305555555555557</v>
      </c>
      <c r="V81" s="10">
        <f t="shared" si="12"/>
        <v>202.11690286624327</v>
      </c>
      <c r="W81" s="11">
        <f t="shared" si="13"/>
        <v>0.7</v>
      </c>
      <c r="X81" s="11">
        <f t="shared" si="14"/>
        <v>1.6804790834551908</v>
      </c>
      <c r="Y81" s="10">
        <f t="shared" si="15"/>
        <v>284.17427848268665</v>
      </c>
      <c r="Z81" s="10">
        <f t="shared" si="16"/>
        <v>626.59094514935327</v>
      </c>
    </row>
    <row r="82" spans="1:26" x14ac:dyDescent="0.25">
      <c r="A82" s="2" t="s">
        <v>77</v>
      </c>
      <c r="B82">
        <v>29</v>
      </c>
      <c r="C82">
        <v>245</v>
      </c>
      <c r="D82">
        <v>508</v>
      </c>
      <c r="E82">
        <v>349</v>
      </c>
      <c r="F82">
        <v>399</v>
      </c>
      <c r="G82">
        <v>862</v>
      </c>
      <c r="H82">
        <v>654</v>
      </c>
      <c r="I82">
        <v>391</v>
      </c>
      <c r="J82">
        <v>655</v>
      </c>
      <c r="K82">
        <v>264</v>
      </c>
      <c r="L82">
        <v>638</v>
      </c>
      <c r="M82">
        <v>327</v>
      </c>
      <c r="N82">
        <v>704</v>
      </c>
      <c r="O82" s="12">
        <v>0.95655619383883395</v>
      </c>
      <c r="P82" s="3">
        <v>3</v>
      </c>
      <c r="Q82" s="4">
        <v>300</v>
      </c>
      <c r="S82">
        <f t="shared" si="9"/>
        <v>5996</v>
      </c>
      <c r="T82" s="10">
        <f t="shared" si="10"/>
        <v>499.66666666666669</v>
      </c>
      <c r="U82" s="10">
        <f t="shared" si="11"/>
        <v>16.655555555555555</v>
      </c>
      <c r="V82" s="10">
        <f t="shared" si="12"/>
        <v>198.86968475650454</v>
      </c>
      <c r="W82" s="11">
        <f t="shared" si="13"/>
        <v>0.96666666666666667</v>
      </c>
      <c r="X82" s="11">
        <f t="shared" si="14"/>
        <v>1.7120491436775114</v>
      </c>
      <c r="Y82" s="10">
        <f t="shared" si="15"/>
        <v>334.75200250190915</v>
      </c>
      <c r="Z82" s="10">
        <f t="shared" si="16"/>
        <v>817.76311361302032</v>
      </c>
    </row>
    <row r="83" spans="1:26" x14ac:dyDescent="0.25">
      <c r="A83" s="2" t="s">
        <v>78</v>
      </c>
      <c r="B83">
        <v>23</v>
      </c>
      <c r="C83">
        <v>896</v>
      </c>
      <c r="D83">
        <v>413</v>
      </c>
      <c r="E83">
        <v>718</v>
      </c>
      <c r="F83">
        <v>774</v>
      </c>
      <c r="G83">
        <v>322</v>
      </c>
      <c r="H83">
        <v>450</v>
      </c>
      <c r="I83">
        <v>336</v>
      </c>
      <c r="J83">
        <v>211</v>
      </c>
      <c r="K83">
        <v>312</v>
      </c>
      <c r="L83">
        <v>667</v>
      </c>
      <c r="M83">
        <v>788</v>
      </c>
      <c r="N83">
        <v>588</v>
      </c>
      <c r="O83" s="12">
        <v>0.96313891868102264</v>
      </c>
      <c r="P83" s="3">
        <v>4</v>
      </c>
      <c r="Q83" s="4">
        <v>263</v>
      </c>
      <c r="S83">
        <f t="shared" si="9"/>
        <v>6475</v>
      </c>
      <c r="T83" s="10">
        <f t="shared" si="10"/>
        <v>539.58333333333337</v>
      </c>
      <c r="U83" s="10">
        <f t="shared" si="11"/>
        <v>17.986111111111111</v>
      </c>
      <c r="V83" s="10">
        <f t="shared" si="12"/>
        <v>226.97715477086845</v>
      </c>
      <c r="W83" s="11">
        <f t="shared" si="13"/>
        <v>0.76666666666666672</v>
      </c>
      <c r="X83" s="11">
        <f t="shared" si="14"/>
        <v>1.7883338443567602</v>
      </c>
      <c r="Y83" s="10">
        <f t="shared" si="15"/>
        <v>355.4135933228074</v>
      </c>
      <c r="Z83" s="10">
        <f t="shared" si="16"/>
        <v>769.09414887836294</v>
      </c>
    </row>
    <row r="84" spans="1:26" x14ac:dyDescent="0.25">
      <c r="A84" s="2" t="s">
        <v>79</v>
      </c>
      <c r="B84">
        <v>26</v>
      </c>
      <c r="C84">
        <v>809</v>
      </c>
      <c r="D84">
        <v>254</v>
      </c>
      <c r="E84">
        <v>648</v>
      </c>
      <c r="F84">
        <v>627</v>
      </c>
      <c r="G84">
        <v>754</v>
      </c>
      <c r="H84">
        <v>737</v>
      </c>
      <c r="I84">
        <v>679</v>
      </c>
      <c r="J84">
        <v>803</v>
      </c>
      <c r="K84">
        <v>863</v>
      </c>
      <c r="L84">
        <v>372</v>
      </c>
      <c r="M84">
        <v>322</v>
      </c>
      <c r="N84">
        <v>698</v>
      </c>
      <c r="O84" s="12">
        <v>0.97460494836429157</v>
      </c>
      <c r="P84" s="3">
        <v>3</v>
      </c>
      <c r="Q84" s="4">
        <v>300</v>
      </c>
      <c r="S84">
        <f t="shared" si="9"/>
        <v>7566</v>
      </c>
      <c r="T84" s="10">
        <f t="shared" si="10"/>
        <v>630.5</v>
      </c>
      <c r="U84" s="10">
        <f t="shared" si="11"/>
        <v>21.016666666666666</v>
      </c>
      <c r="V84" s="10">
        <f t="shared" si="12"/>
        <v>202.98746042775423</v>
      </c>
      <c r="W84" s="11">
        <f t="shared" si="13"/>
        <v>0.8666666666666667</v>
      </c>
      <c r="X84" s="11">
        <f t="shared" si="14"/>
        <v>1.9532489507989934</v>
      </c>
      <c r="Y84" s="10">
        <f t="shared" si="15"/>
        <v>369.10748864390592</v>
      </c>
      <c r="Z84" s="10">
        <f t="shared" si="16"/>
        <v>915.54082197723915</v>
      </c>
    </row>
    <row r="85" spans="1:26" x14ac:dyDescent="0.25">
      <c r="A85" s="2" t="s">
        <v>80</v>
      </c>
      <c r="B85">
        <v>24</v>
      </c>
      <c r="C85">
        <v>457</v>
      </c>
      <c r="D85">
        <v>609</v>
      </c>
      <c r="E85">
        <v>462</v>
      </c>
      <c r="F85">
        <v>723</v>
      </c>
      <c r="G85">
        <v>445</v>
      </c>
      <c r="H85">
        <v>552</v>
      </c>
      <c r="I85">
        <v>764</v>
      </c>
      <c r="J85">
        <v>822</v>
      </c>
      <c r="K85">
        <v>724</v>
      </c>
      <c r="L85">
        <v>793</v>
      </c>
      <c r="M85">
        <v>424</v>
      </c>
      <c r="N85">
        <v>445</v>
      </c>
      <c r="O85" s="12">
        <v>0.96974266677013155</v>
      </c>
      <c r="P85" s="3">
        <v>1</v>
      </c>
      <c r="Q85" s="4">
        <v>194</v>
      </c>
      <c r="S85">
        <f t="shared" si="9"/>
        <v>7220</v>
      </c>
      <c r="T85" s="10">
        <f t="shared" si="10"/>
        <v>601.66666666666663</v>
      </c>
      <c r="U85" s="10">
        <f t="shared" si="11"/>
        <v>20.055555555555554</v>
      </c>
      <c r="V85" s="10">
        <f t="shared" si="12"/>
        <v>155.15524971831132</v>
      </c>
      <c r="W85" s="11">
        <f t="shared" si="13"/>
        <v>0.8</v>
      </c>
      <c r="X85" s="11">
        <f t="shared" si="14"/>
        <v>1.8770250076608239</v>
      </c>
      <c r="Y85" s="10">
        <f t="shared" si="15"/>
        <v>260.48428466540906</v>
      </c>
      <c r="Z85" s="10">
        <f t="shared" si="16"/>
        <v>741.81761799874232</v>
      </c>
    </row>
    <row r="86" spans="1:26" x14ac:dyDescent="0.25">
      <c r="A86" s="2" t="s">
        <v>81</v>
      </c>
      <c r="B86">
        <v>26</v>
      </c>
      <c r="C86">
        <v>893</v>
      </c>
      <c r="D86">
        <v>349</v>
      </c>
      <c r="E86">
        <v>478</v>
      </c>
      <c r="F86">
        <v>427</v>
      </c>
      <c r="G86">
        <v>222</v>
      </c>
      <c r="H86">
        <v>334</v>
      </c>
      <c r="I86">
        <v>249</v>
      </c>
      <c r="J86">
        <v>607</v>
      </c>
      <c r="K86">
        <v>317</v>
      </c>
      <c r="L86">
        <v>245</v>
      </c>
      <c r="M86">
        <v>410</v>
      </c>
      <c r="N86">
        <v>896</v>
      </c>
      <c r="O86" s="12">
        <v>0.96819143075992875</v>
      </c>
      <c r="P86" s="3">
        <v>2</v>
      </c>
      <c r="Q86" s="4">
        <v>299</v>
      </c>
      <c r="S86">
        <f t="shared" si="9"/>
        <v>5427</v>
      </c>
      <c r="T86" s="10">
        <f t="shared" si="10"/>
        <v>452.25</v>
      </c>
      <c r="U86" s="10">
        <f t="shared" si="11"/>
        <v>15.074999999999999</v>
      </c>
      <c r="V86" s="10">
        <f t="shared" si="12"/>
        <v>233.24241193932275</v>
      </c>
      <c r="W86" s="11">
        <f t="shared" si="13"/>
        <v>0.8666666666666667</v>
      </c>
      <c r="X86" s="11">
        <f t="shared" si="14"/>
        <v>1.8548535789225633</v>
      </c>
      <c r="Y86" s="10">
        <f t="shared" si="15"/>
        <v>402.75709780268278</v>
      </c>
      <c r="Z86" s="10">
        <f t="shared" si="16"/>
        <v>794.70709780268271</v>
      </c>
    </row>
    <row r="87" spans="1:26" x14ac:dyDescent="0.25">
      <c r="A87" s="2" t="s">
        <v>82</v>
      </c>
      <c r="B87">
        <v>30</v>
      </c>
      <c r="C87">
        <v>596</v>
      </c>
      <c r="D87">
        <v>428</v>
      </c>
      <c r="E87">
        <v>404</v>
      </c>
      <c r="F87">
        <v>871</v>
      </c>
      <c r="G87">
        <v>270</v>
      </c>
      <c r="H87">
        <v>740</v>
      </c>
      <c r="I87">
        <v>484</v>
      </c>
      <c r="J87">
        <v>322</v>
      </c>
      <c r="K87">
        <v>386</v>
      </c>
      <c r="L87">
        <v>468</v>
      </c>
      <c r="M87">
        <v>825</v>
      </c>
      <c r="N87">
        <v>201</v>
      </c>
      <c r="O87" s="12">
        <v>0.96842137088965397</v>
      </c>
      <c r="P87" s="3">
        <v>3</v>
      </c>
      <c r="Q87" s="4">
        <v>208</v>
      </c>
      <c r="S87">
        <f t="shared" si="9"/>
        <v>5995</v>
      </c>
      <c r="T87" s="10">
        <f t="shared" si="10"/>
        <v>499.58333333333331</v>
      </c>
      <c r="U87" s="10">
        <f t="shared" si="11"/>
        <v>16.652777777777779</v>
      </c>
      <c r="V87" s="10">
        <f t="shared" si="12"/>
        <v>215.90000140356784</v>
      </c>
      <c r="W87" s="11">
        <f t="shared" si="13"/>
        <v>1</v>
      </c>
      <c r="X87" s="11">
        <f t="shared" si="14"/>
        <v>1.858082791171757</v>
      </c>
      <c r="Y87" s="10">
        <f t="shared" si="15"/>
        <v>401.16007722192757</v>
      </c>
      <c r="Z87" s="10">
        <f t="shared" si="16"/>
        <v>900.74341055526088</v>
      </c>
    </row>
    <row r="88" spans="1:26" x14ac:dyDescent="0.25">
      <c r="A88" s="2" t="s">
        <v>83</v>
      </c>
      <c r="B88">
        <v>20</v>
      </c>
      <c r="C88">
        <v>761</v>
      </c>
      <c r="D88">
        <v>542</v>
      </c>
      <c r="E88">
        <v>366</v>
      </c>
      <c r="F88">
        <v>520</v>
      </c>
      <c r="G88">
        <v>265</v>
      </c>
      <c r="H88">
        <v>315</v>
      </c>
      <c r="I88">
        <v>683</v>
      </c>
      <c r="J88">
        <v>501</v>
      </c>
      <c r="K88">
        <v>457</v>
      </c>
      <c r="L88">
        <v>254</v>
      </c>
      <c r="M88">
        <v>797</v>
      </c>
      <c r="N88">
        <v>446</v>
      </c>
      <c r="O88" s="12">
        <v>0.95689853225950605</v>
      </c>
      <c r="P88" s="3">
        <v>3</v>
      </c>
      <c r="Q88" s="4">
        <v>171</v>
      </c>
      <c r="S88">
        <f t="shared" si="9"/>
        <v>5907</v>
      </c>
      <c r="T88" s="10">
        <f t="shared" si="10"/>
        <v>492.25</v>
      </c>
      <c r="U88" s="10">
        <f t="shared" si="11"/>
        <v>16.408333333333335</v>
      </c>
      <c r="V88" s="10">
        <f t="shared" si="12"/>
        <v>181.89663648247145</v>
      </c>
      <c r="W88" s="11">
        <f t="shared" si="13"/>
        <v>0.66666666666666663</v>
      </c>
      <c r="X88" s="11">
        <f t="shared" si="14"/>
        <v>1.7157766169420552</v>
      </c>
      <c r="Y88" s="10">
        <f t="shared" si="15"/>
        <v>254.82368031672087</v>
      </c>
      <c r="Z88" s="10">
        <f t="shared" si="16"/>
        <v>582.99034698338755</v>
      </c>
    </row>
    <row r="89" spans="1:26" x14ac:dyDescent="0.25">
      <c r="A89" s="2" t="s">
        <v>84</v>
      </c>
      <c r="B89">
        <v>23</v>
      </c>
      <c r="C89">
        <v>291</v>
      </c>
      <c r="D89">
        <v>515</v>
      </c>
      <c r="E89">
        <v>423</v>
      </c>
      <c r="F89">
        <v>406</v>
      </c>
      <c r="G89">
        <v>357</v>
      </c>
      <c r="H89">
        <v>722</v>
      </c>
      <c r="I89">
        <v>809</v>
      </c>
      <c r="J89">
        <v>283</v>
      </c>
      <c r="K89">
        <v>547</v>
      </c>
      <c r="L89">
        <v>758</v>
      </c>
      <c r="M89">
        <v>468</v>
      </c>
      <c r="N89">
        <v>338</v>
      </c>
      <c r="O89" s="12">
        <v>0.96421196257521546</v>
      </c>
      <c r="P89" s="3">
        <v>2</v>
      </c>
      <c r="Q89" s="4">
        <v>187</v>
      </c>
      <c r="S89">
        <f t="shared" si="9"/>
        <v>5917</v>
      </c>
      <c r="T89" s="10">
        <f t="shared" si="10"/>
        <v>493.08333333333331</v>
      </c>
      <c r="U89" s="10">
        <f t="shared" si="11"/>
        <v>16.43611111111111</v>
      </c>
      <c r="V89" s="10">
        <f t="shared" si="12"/>
        <v>182.51797337813224</v>
      </c>
      <c r="W89" s="11">
        <f t="shared" si="13"/>
        <v>0.76666666666666672</v>
      </c>
      <c r="X89" s="11">
        <f t="shared" si="14"/>
        <v>1.8018051013867369</v>
      </c>
      <c r="Y89" s="10">
        <f t="shared" si="15"/>
        <v>287.94977313047769</v>
      </c>
      <c r="Z89" s="10">
        <f t="shared" si="16"/>
        <v>665.9803286860332</v>
      </c>
    </row>
    <row r="90" spans="1:26" x14ac:dyDescent="0.25">
      <c r="A90" s="2" t="s">
        <v>85</v>
      </c>
      <c r="B90">
        <v>27</v>
      </c>
      <c r="C90">
        <v>647</v>
      </c>
      <c r="D90">
        <v>688</v>
      </c>
      <c r="E90">
        <v>565</v>
      </c>
      <c r="F90">
        <v>647</v>
      </c>
      <c r="G90">
        <v>779</v>
      </c>
      <c r="H90">
        <v>299</v>
      </c>
      <c r="I90">
        <v>445</v>
      </c>
      <c r="J90">
        <v>245</v>
      </c>
      <c r="K90">
        <v>823</v>
      </c>
      <c r="L90">
        <v>337</v>
      </c>
      <c r="M90">
        <v>282</v>
      </c>
      <c r="N90">
        <v>533</v>
      </c>
      <c r="O90" s="12">
        <v>0.96644909860266892</v>
      </c>
      <c r="P90" s="3">
        <v>2</v>
      </c>
      <c r="Q90" s="4">
        <v>294</v>
      </c>
      <c r="S90">
        <f t="shared" si="9"/>
        <v>6290</v>
      </c>
      <c r="T90" s="10">
        <f t="shared" si="10"/>
        <v>524.16666666666663</v>
      </c>
      <c r="U90" s="10">
        <f t="shared" si="11"/>
        <v>17.472222222222221</v>
      </c>
      <c r="V90" s="10">
        <f t="shared" si="12"/>
        <v>200.35914723013738</v>
      </c>
      <c r="W90" s="11">
        <f t="shared" si="13"/>
        <v>0.9</v>
      </c>
      <c r="X90" s="11">
        <f t="shared" si="14"/>
        <v>1.8309915602658957</v>
      </c>
      <c r="Y90" s="10">
        <f t="shared" si="15"/>
        <v>348.03007233171286</v>
      </c>
      <c r="Z90" s="10">
        <f t="shared" si="16"/>
        <v>819.78007233171286</v>
      </c>
    </row>
    <row r="91" spans="1:26" x14ac:dyDescent="0.25">
      <c r="A91" s="2" t="s">
        <v>86</v>
      </c>
      <c r="B91">
        <v>29</v>
      </c>
      <c r="C91">
        <v>738</v>
      </c>
      <c r="D91">
        <v>512</v>
      </c>
      <c r="E91">
        <v>731</v>
      </c>
      <c r="F91">
        <v>249</v>
      </c>
      <c r="G91">
        <v>836</v>
      </c>
      <c r="H91">
        <v>606</v>
      </c>
      <c r="I91">
        <v>741</v>
      </c>
      <c r="J91">
        <v>414</v>
      </c>
      <c r="K91">
        <v>696</v>
      </c>
      <c r="L91">
        <v>725</v>
      </c>
      <c r="M91">
        <v>817</v>
      </c>
      <c r="N91">
        <v>322</v>
      </c>
      <c r="O91" s="12">
        <v>0.96999611107185058</v>
      </c>
      <c r="P91" s="3">
        <v>3</v>
      </c>
      <c r="Q91" s="4">
        <v>242</v>
      </c>
      <c r="S91">
        <f t="shared" si="9"/>
        <v>7387</v>
      </c>
      <c r="T91" s="10">
        <f t="shared" si="10"/>
        <v>615.58333333333337</v>
      </c>
      <c r="U91" s="10">
        <f t="shared" si="11"/>
        <v>20.519444444444446</v>
      </c>
      <c r="V91" s="10">
        <f t="shared" si="12"/>
        <v>196.25097953818471</v>
      </c>
      <c r="W91" s="11">
        <f t="shared" si="13"/>
        <v>0.96666666666666667</v>
      </c>
      <c r="X91" s="11">
        <f t="shared" si="14"/>
        <v>1.8807364563638238</v>
      </c>
      <c r="Y91" s="10">
        <f t="shared" si="15"/>
        <v>362.89262961716389</v>
      </c>
      <c r="Z91" s="10">
        <f t="shared" si="16"/>
        <v>957.95651850605282</v>
      </c>
    </row>
    <row r="92" spans="1:26" x14ac:dyDescent="0.25">
      <c r="A92" s="2" t="s">
        <v>87</v>
      </c>
      <c r="B92">
        <v>24</v>
      </c>
      <c r="C92">
        <v>552</v>
      </c>
      <c r="D92">
        <v>786</v>
      </c>
      <c r="E92">
        <v>819</v>
      </c>
      <c r="F92">
        <v>657</v>
      </c>
      <c r="G92">
        <v>839</v>
      </c>
      <c r="H92">
        <v>895</v>
      </c>
      <c r="I92">
        <v>423</v>
      </c>
      <c r="J92">
        <v>300</v>
      </c>
      <c r="K92">
        <v>444</v>
      </c>
      <c r="L92">
        <v>476</v>
      </c>
      <c r="M92">
        <v>899</v>
      </c>
      <c r="N92">
        <v>344</v>
      </c>
      <c r="O92" s="12">
        <v>0.95763807519898425</v>
      </c>
      <c r="P92" s="3">
        <v>2</v>
      </c>
      <c r="Q92" s="4">
        <v>287</v>
      </c>
      <c r="S92">
        <f t="shared" si="9"/>
        <v>7434</v>
      </c>
      <c r="T92" s="10">
        <f t="shared" si="10"/>
        <v>619.5</v>
      </c>
      <c r="U92" s="10">
        <f t="shared" si="11"/>
        <v>20.65</v>
      </c>
      <c r="V92" s="10">
        <f t="shared" si="12"/>
        <v>222.31652292089393</v>
      </c>
      <c r="W92" s="11">
        <f t="shared" si="13"/>
        <v>0.8</v>
      </c>
      <c r="X92" s="11">
        <f t="shared" si="14"/>
        <v>1.7239113413131857</v>
      </c>
      <c r="Y92" s="10">
        <f t="shared" si="15"/>
        <v>342.79277649972778</v>
      </c>
      <c r="Z92" s="10">
        <f t="shared" si="16"/>
        <v>838.39277649972769</v>
      </c>
    </row>
    <row r="93" spans="1:26" x14ac:dyDescent="0.25">
      <c r="A93" s="2" t="s">
        <v>88</v>
      </c>
      <c r="B93">
        <v>29</v>
      </c>
      <c r="C93">
        <v>351</v>
      </c>
      <c r="D93">
        <v>675</v>
      </c>
      <c r="E93">
        <v>596</v>
      </c>
      <c r="F93">
        <v>498</v>
      </c>
      <c r="G93">
        <v>528</v>
      </c>
      <c r="H93">
        <v>463</v>
      </c>
      <c r="I93">
        <v>578</v>
      </c>
      <c r="J93">
        <v>219</v>
      </c>
      <c r="K93">
        <v>537</v>
      </c>
      <c r="L93">
        <v>204</v>
      </c>
      <c r="M93">
        <v>329</v>
      </c>
      <c r="N93">
        <v>449</v>
      </c>
      <c r="O93" s="12">
        <v>0.95625887893445283</v>
      </c>
      <c r="P93" s="3">
        <v>2</v>
      </c>
      <c r="Q93" s="4">
        <v>233</v>
      </c>
      <c r="S93">
        <f t="shared" si="9"/>
        <v>5427</v>
      </c>
      <c r="T93" s="10">
        <f t="shared" si="10"/>
        <v>452.25</v>
      </c>
      <c r="U93" s="10">
        <f t="shared" si="11"/>
        <v>15.074999999999999</v>
      </c>
      <c r="V93" s="10">
        <f t="shared" si="12"/>
        <v>148.5414695693367</v>
      </c>
      <c r="W93" s="11">
        <f t="shared" si="13"/>
        <v>0.96666666666666667</v>
      </c>
      <c r="X93" s="11">
        <f t="shared" si="14"/>
        <v>1.7088310891901082</v>
      </c>
      <c r="Y93" s="10">
        <f t="shared" si="15"/>
        <v>249.56588862117169</v>
      </c>
      <c r="Z93" s="10">
        <f t="shared" si="16"/>
        <v>686.74088862117162</v>
      </c>
    </row>
    <row r="94" spans="1:26" x14ac:dyDescent="0.25">
      <c r="A94" s="2" t="s">
        <v>89</v>
      </c>
      <c r="B94">
        <v>25</v>
      </c>
      <c r="C94">
        <v>442</v>
      </c>
      <c r="D94">
        <v>481</v>
      </c>
      <c r="E94">
        <v>272</v>
      </c>
      <c r="F94">
        <v>719</v>
      </c>
      <c r="G94">
        <v>608</v>
      </c>
      <c r="H94">
        <v>578</v>
      </c>
      <c r="I94">
        <v>752</v>
      </c>
      <c r="J94">
        <v>440</v>
      </c>
      <c r="K94">
        <v>308</v>
      </c>
      <c r="L94">
        <v>855</v>
      </c>
      <c r="M94">
        <v>848</v>
      </c>
      <c r="N94">
        <v>430</v>
      </c>
      <c r="O94" s="12">
        <v>0.96407446116476747</v>
      </c>
      <c r="P94" s="3">
        <v>2</v>
      </c>
      <c r="Q94" s="4">
        <v>241</v>
      </c>
      <c r="S94">
        <f t="shared" si="9"/>
        <v>6733</v>
      </c>
      <c r="T94" s="10">
        <f t="shared" si="10"/>
        <v>561.08333333333337</v>
      </c>
      <c r="U94" s="10">
        <f t="shared" si="11"/>
        <v>18.702777777777779</v>
      </c>
      <c r="V94" s="10">
        <f t="shared" si="12"/>
        <v>198.32042866089819</v>
      </c>
      <c r="W94" s="11">
        <f t="shared" si="13"/>
        <v>0.83333333333333337</v>
      </c>
      <c r="X94" s="11">
        <f t="shared" si="14"/>
        <v>1.8000605513441745</v>
      </c>
      <c r="Y94" s="10">
        <f t="shared" si="15"/>
        <v>325.8846794481185</v>
      </c>
      <c r="Z94" s="10">
        <f t="shared" si="16"/>
        <v>793.45412389256296</v>
      </c>
    </row>
    <row r="95" spans="1:26" x14ac:dyDescent="0.25">
      <c r="A95" s="2" t="s">
        <v>90</v>
      </c>
      <c r="B95">
        <v>29</v>
      </c>
      <c r="C95">
        <v>759</v>
      </c>
      <c r="D95">
        <v>646</v>
      </c>
      <c r="E95">
        <v>495</v>
      </c>
      <c r="F95">
        <v>418</v>
      </c>
      <c r="G95">
        <v>375</v>
      </c>
      <c r="H95">
        <v>875</v>
      </c>
      <c r="I95">
        <v>592</v>
      </c>
      <c r="J95">
        <v>789</v>
      </c>
      <c r="K95">
        <v>401</v>
      </c>
      <c r="L95">
        <v>253</v>
      </c>
      <c r="M95">
        <v>449</v>
      </c>
      <c r="N95">
        <v>687</v>
      </c>
      <c r="O95" s="12">
        <v>0.96384124954058681</v>
      </c>
      <c r="P95" s="3">
        <v>4</v>
      </c>
      <c r="Q95" s="4">
        <v>206</v>
      </c>
      <c r="S95">
        <f t="shared" si="9"/>
        <v>6739</v>
      </c>
      <c r="T95" s="10">
        <f t="shared" si="10"/>
        <v>561.58333333333337</v>
      </c>
      <c r="U95" s="10">
        <f t="shared" si="11"/>
        <v>18.719444444444445</v>
      </c>
      <c r="V95" s="10">
        <f t="shared" si="12"/>
        <v>192.1767455108747</v>
      </c>
      <c r="W95" s="11">
        <f t="shared" si="13"/>
        <v>0.96666666666666667</v>
      </c>
      <c r="X95" s="11">
        <f t="shared" si="14"/>
        <v>1.7971141428530417</v>
      </c>
      <c r="Y95" s="10">
        <f t="shared" si="15"/>
        <v>339.55870449778052</v>
      </c>
      <c r="Z95" s="10">
        <f t="shared" si="16"/>
        <v>882.4225933866694</v>
      </c>
    </row>
    <row r="96" spans="1:26" x14ac:dyDescent="0.25">
      <c r="A96" s="2" t="s">
        <v>91</v>
      </c>
      <c r="B96">
        <v>24</v>
      </c>
      <c r="C96">
        <v>811</v>
      </c>
      <c r="D96">
        <v>328</v>
      </c>
      <c r="E96">
        <v>302</v>
      </c>
      <c r="F96">
        <v>299</v>
      </c>
      <c r="G96">
        <v>872</v>
      </c>
      <c r="H96">
        <v>795</v>
      </c>
      <c r="I96">
        <v>215</v>
      </c>
      <c r="J96">
        <v>784</v>
      </c>
      <c r="K96">
        <v>241</v>
      </c>
      <c r="L96">
        <v>673</v>
      </c>
      <c r="M96">
        <v>769</v>
      </c>
      <c r="N96">
        <v>359</v>
      </c>
      <c r="O96" s="12">
        <v>0.9737317886041672</v>
      </c>
      <c r="P96" s="3">
        <v>1</v>
      </c>
      <c r="Q96" s="4">
        <v>198</v>
      </c>
      <c r="S96">
        <f t="shared" si="9"/>
        <v>6448</v>
      </c>
      <c r="T96" s="10">
        <f t="shared" si="10"/>
        <v>537.33333333333337</v>
      </c>
      <c r="U96" s="10">
        <f t="shared" si="11"/>
        <v>17.911111111111111</v>
      </c>
      <c r="V96" s="10">
        <f t="shared" si="12"/>
        <v>263.83994229743746</v>
      </c>
      <c r="W96" s="11">
        <f t="shared" si="13"/>
        <v>0.8</v>
      </c>
      <c r="X96" s="11">
        <f t="shared" si="14"/>
        <v>1.9387119495032026</v>
      </c>
      <c r="Y96" s="10">
        <f t="shared" si="15"/>
        <v>457.50813842449526</v>
      </c>
      <c r="Z96" s="10">
        <f t="shared" si="16"/>
        <v>887.37480509116199</v>
      </c>
    </row>
    <row r="97" spans="1:26" x14ac:dyDescent="0.25">
      <c r="A97" s="2" t="s">
        <v>92</v>
      </c>
      <c r="B97">
        <v>20</v>
      </c>
      <c r="C97">
        <v>534</v>
      </c>
      <c r="D97">
        <v>446</v>
      </c>
      <c r="E97">
        <v>489</v>
      </c>
      <c r="F97">
        <v>448</v>
      </c>
      <c r="G97">
        <v>798</v>
      </c>
      <c r="H97">
        <v>831</v>
      </c>
      <c r="I97">
        <v>742</v>
      </c>
      <c r="J97">
        <v>736</v>
      </c>
      <c r="K97">
        <v>569</v>
      </c>
      <c r="L97">
        <v>657</v>
      </c>
      <c r="M97">
        <v>858</v>
      </c>
      <c r="N97">
        <v>841</v>
      </c>
      <c r="O97" s="12">
        <v>0.95680328823463601</v>
      </c>
      <c r="P97" s="3">
        <v>2</v>
      </c>
      <c r="Q97" s="4">
        <v>283</v>
      </c>
      <c r="S97">
        <f t="shared" si="9"/>
        <v>7949</v>
      </c>
      <c r="T97" s="10">
        <f t="shared" si="10"/>
        <v>662.41666666666663</v>
      </c>
      <c r="U97" s="10">
        <f t="shared" si="11"/>
        <v>22.080555555555556</v>
      </c>
      <c r="V97" s="10">
        <f t="shared" si="12"/>
        <v>158.6382152362203</v>
      </c>
      <c r="W97" s="11">
        <f t="shared" si="13"/>
        <v>0.66666666666666663</v>
      </c>
      <c r="X97" s="11">
        <f t="shared" si="14"/>
        <v>1.7147371806262082</v>
      </c>
      <c r="Y97" s="10">
        <f t="shared" si="15"/>
        <v>222.1057236391201</v>
      </c>
      <c r="Z97" s="10">
        <f t="shared" si="16"/>
        <v>663.71683475023121</v>
      </c>
    </row>
    <row r="98" spans="1:26" x14ac:dyDescent="0.25">
      <c r="A98" s="2" t="s">
        <v>93</v>
      </c>
      <c r="B98">
        <v>27</v>
      </c>
      <c r="C98">
        <v>331</v>
      </c>
      <c r="D98">
        <v>796</v>
      </c>
      <c r="E98">
        <v>833</v>
      </c>
      <c r="F98">
        <v>649</v>
      </c>
      <c r="G98">
        <v>546</v>
      </c>
      <c r="H98">
        <v>262</v>
      </c>
      <c r="I98">
        <v>885</v>
      </c>
      <c r="J98">
        <v>842</v>
      </c>
      <c r="K98">
        <v>833</v>
      </c>
      <c r="L98">
        <v>461</v>
      </c>
      <c r="M98">
        <v>795</v>
      </c>
      <c r="N98">
        <v>897</v>
      </c>
      <c r="O98" s="12">
        <v>0.95472554085302486</v>
      </c>
      <c r="P98" s="3">
        <v>3</v>
      </c>
      <c r="Q98" s="4">
        <v>290</v>
      </c>
      <c r="S98">
        <f t="shared" si="9"/>
        <v>8130</v>
      </c>
      <c r="T98" s="10">
        <f t="shared" si="10"/>
        <v>677.5</v>
      </c>
      <c r="U98" s="10">
        <f t="shared" si="11"/>
        <v>22.583333333333332</v>
      </c>
      <c r="V98" s="10">
        <f t="shared" si="12"/>
        <v>224.05052189994194</v>
      </c>
      <c r="W98" s="11">
        <f t="shared" si="13"/>
        <v>0.9</v>
      </c>
      <c r="X98" s="11">
        <f t="shared" si="14"/>
        <v>1.6925092481523054</v>
      </c>
      <c r="Y98" s="10">
        <f t="shared" si="15"/>
        <v>359.74789799022039</v>
      </c>
      <c r="Z98" s="10">
        <f t="shared" si="16"/>
        <v>969.49789799022039</v>
      </c>
    </row>
    <row r="99" spans="1:26" x14ac:dyDescent="0.25">
      <c r="A99" s="2" t="s">
        <v>94</v>
      </c>
      <c r="B99">
        <v>20</v>
      </c>
      <c r="C99">
        <v>771</v>
      </c>
      <c r="D99">
        <v>555</v>
      </c>
      <c r="E99">
        <v>274</v>
      </c>
      <c r="F99">
        <v>649</v>
      </c>
      <c r="G99">
        <v>214</v>
      </c>
      <c r="H99">
        <v>466</v>
      </c>
      <c r="I99">
        <v>756</v>
      </c>
      <c r="J99">
        <v>748</v>
      </c>
      <c r="K99">
        <v>225</v>
      </c>
      <c r="L99">
        <v>614</v>
      </c>
      <c r="M99">
        <v>690</v>
      </c>
      <c r="N99">
        <v>417</v>
      </c>
      <c r="O99" s="12">
        <v>0.95915380264914851</v>
      </c>
      <c r="P99" s="3">
        <v>2</v>
      </c>
      <c r="Q99" s="4">
        <v>251</v>
      </c>
      <c r="S99">
        <f t="shared" si="9"/>
        <v>6379</v>
      </c>
      <c r="T99" s="10">
        <f t="shared" si="10"/>
        <v>531.58333333333337</v>
      </c>
      <c r="U99" s="10">
        <f t="shared" si="11"/>
        <v>17.719444444444445</v>
      </c>
      <c r="V99" s="10">
        <f t="shared" si="12"/>
        <v>208.75712653413265</v>
      </c>
      <c r="W99" s="11">
        <f t="shared" si="13"/>
        <v>0.66666666666666663</v>
      </c>
      <c r="X99" s="11">
        <f t="shared" si="14"/>
        <v>1.7409497064577857</v>
      </c>
      <c r="Y99" s="10">
        <f t="shared" si="15"/>
        <v>296.74397227532245</v>
      </c>
      <c r="Z99" s="10">
        <f t="shared" si="16"/>
        <v>651.13286116421136</v>
      </c>
    </row>
    <row r="100" spans="1:26" x14ac:dyDescent="0.25">
      <c r="A100" s="2" t="s">
        <v>95</v>
      </c>
      <c r="B100">
        <v>29</v>
      </c>
      <c r="C100">
        <v>767</v>
      </c>
      <c r="D100">
        <v>448</v>
      </c>
      <c r="E100">
        <v>600</v>
      </c>
      <c r="F100">
        <v>624</v>
      </c>
      <c r="G100">
        <v>876</v>
      </c>
      <c r="H100">
        <v>358</v>
      </c>
      <c r="I100">
        <v>467</v>
      </c>
      <c r="J100">
        <v>823</v>
      </c>
      <c r="K100">
        <v>897</v>
      </c>
      <c r="L100">
        <v>719</v>
      </c>
      <c r="M100">
        <v>203</v>
      </c>
      <c r="N100">
        <v>529</v>
      </c>
      <c r="O100" s="12">
        <v>0.95592867213308796</v>
      </c>
      <c r="P100" s="3">
        <v>4</v>
      </c>
      <c r="Q100" s="4">
        <v>189</v>
      </c>
      <c r="S100">
        <f t="shared" si="9"/>
        <v>7311</v>
      </c>
      <c r="T100" s="10">
        <f t="shared" si="10"/>
        <v>609.25</v>
      </c>
      <c r="U100" s="10">
        <f t="shared" si="11"/>
        <v>20.308333333333334</v>
      </c>
      <c r="V100" s="10">
        <f t="shared" si="12"/>
        <v>216.94579339716933</v>
      </c>
      <c r="W100" s="11">
        <f t="shared" si="13"/>
        <v>0.96666666666666667</v>
      </c>
      <c r="X100" s="11">
        <f t="shared" si="14"/>
        <v>1.7052776402005294</v>
      </c>
      <c r="Y100" s="10">
        <f t="shared" si="15"/>
        <v>363.73467346370467</v>
      </c>
      <c r="Z100" s="10">
        <f t="shared" si="16"/>
        <v>952.67634013037139</v>
      </c>
    </row>
    <row r="101" spans="1:26" x14ac:dyDescent="0.25">
      <c r="A101" s="2" t="s">
        <v>96</v>
      </c>
      <c r="B101">
        <v>23</v>
      </c>
      <c r="C101">
        <v>587</v>
      </c>
      <c r="D101">
        <v>612</v>
      </c>
      <c r="E101">
        <v>601</v>
      </c>
      <c r="F101">
        <v>835</v>
      </c>
      <c r="G101">
        <v>886</v>
      </c>
      <c r="H101">
        <v>757</v>
      </c>
      <c r="I101">
        <v>421</v>
      </c>
      <c r="J101">
        <v>684</v>
      </c>
      <c r="K101">
        <v>383</v>
      </c>
      <c r="L101">
        <v>786</v>
      </c>
      <c r="M101">
        <v>266</v>
      </c>
      <c r="N101">
        <v>520</v>
      </c>
      <c r="O101" s="12">
        <v>0.95594505183715073</v>
      </c>
      <c r="P101" s="3">
        <v>1</v>
      </c>
      <c r="Q101" s="4">
        <v>228</v>
      </c>
      <c r="S101">
        <f t="shared" ref="S101:S132" si="17">SUM(C101:N101)</f>
        <v>7338</v>
      </c>
      <c r="T101" s="10">
        <f t="shared" si="10"/>
        <v>611.5</v>
      </c>
      <c r="U101" s="10">
        <f t="shared" si="11"/>
        <v>20.383333333333333</v>
      </c>
      <c r="V101" s="10">
        <f t="shared" si="12"/>
        <v>190.4862199740443</v>
      </c>
      <c r="W101" s="11">
        <f t="shared" si="13"/>
        <v>0.76666666666666672</v>
      </c>
      <c r="X101" s="11">
        <f t="shared" si="14"/>
        <v>1.7054533998300938</v>
      </c>
      <c r="Y101" s="10">
        <f t="shared" si="15"/>
        <v>284.45050655783632</v>
      </c>
      <c r="Z101" s="10">
        <f t="shared" si="16"/>
        <v>753.26717322450304</v>
      </c>
    </row>
    <row r="102" spans="1:26" x14ac:dyDescent="0.25">
      <c r="A102" s="2" t="s">
        <v>97</v>
      </c>
      <c r="B102">
        <v>20</v>
      </c>
      <c r="C102">
        <v>856</v>
      </c>
      <c r="D102">
        <v>437</v>
      </c>
      <c r="E102">
        <v>544</v>
      </c>
      <c r="F102">
        <v>796</v>
      </c>
      <c r="G102">
        <v>320</v>
      </c>
      <c r="H102">
        <v>211</v>
      </c>
      <c r="I102">
        <v>579</v>
      </c>
      <c r="J102">
        <v>373</v>
      </c>
      <c r="K102">
        <v>809</v>
      </c>
      <c r="L102">
        <v>682</v>
      </c>
      <c r="M102">
        <v>722</v>
      </c>
      <c r="N102">
        <v>743</v>
      </c>
      <c r="O102" s="12">
        <v>0.95601083846473134</v>
      </c>
      <c r="P102" s="3">
        <v>3</v>
      </c>
      <c r="Q102" s="4">
        <v>168</v>
      </c>
      <c r="S102">
        <f t="shared" si="17"/>
        <v>7072</v>
      </c>
      <c r="T102" s="10">
        <f t="shared" si="10"/>
        <v>589.33333333333337</v>
      </c>
      <c r="U102" s="10">
        <f t="shared" si="11"/>
        <v>19.644444444444446</v>
      </c>
      <c r="V102" s="10">
        <f t="shared" si="12"/>
        <v>213.1411539687995</v>
      </c>
      <c r="W102" s="11">
        <f t="shared" si="13"/>
        <v>0.66666666666666663</v>
      </c>
      <c r="X102" s="11">
        <f t="shared" si="14"/>
        <v>1.7061598433094456</v>
      </c>
      <c r="Y102" s="10">
        <f t="shared" si="15"/>
        <v>296.92133141574936</v>
      </c>
      <c r="Z102" s="10">
        <f t="shared" si="16"/>
        <v>689.81022030463828</v>
      </c>
    </row>
    <row r="103" spans="1:26" x14ac:dyDescent="0.25">
      <c r="A103" s="2" t="s">
        <v>98</v>
      </c>
      <c r="B103">
        <v>20</v>
      </c>
      <c r="C103">
        <v>237</v>
      </c>
      <c r="D103">
        <v>649</v>
      </c>
      <c r="E103">
        <v>557</v>
      </c>
      <c r="F103">
        <v>282</v>
      </c>
      <c r="G103">
        <v>655</v>
      </c>
      <c r="H103">
        <v>337</v>
      </c>
      <c r="I103">
        <v>624</v>
      </c>
      <c r="J103">
        <v>652</v>
      </c>
      <c r="K103">
        <v>886</v>
      </c>
      <c r="L103">
        <v>435</v>
      </c>
      <c r="M103">
        <v>527</v>
      </c>
      <c r="N103">
        <v>576</v>
      </c>
      <c r="O103" s="12">
        <v>0.97139096151124549</v>
      </c>
      <c r="P103" s="3">
        <v>4</v>
      </c>
      <c r="Q103" s="4">
        <v>274</v>
      </c>
      <c r="S103">
        <f t="shared" si="17"/>
        <v>6417</v>
      </c>
      <c r="T103" s="10">
        <f t="shared" si="10"/>
        <v>534.75</v>
      </c>
      <c r="U103" s="10">
        <f t="shared" si="11"/>
        <v>17.824999999999999</v>
      </c>
      <c r="V103" s="10">
        <f t="shared" si="12"/>
        <v>184.99441023496308</v>
      </c>
      <c r="W103" s="11">
        <f t="shared" si="13"/>
        <v>0.66666666666666663</v>
      </c>
      <c r="X103" s="11">
        <f t="shared" si="14"/>
        <v>1.9016412065371677</v>
      </c>
      <c r="Y103" s="10">
        <f t="shared" si="15"/>
        <v>287.23777637225788</v>
      </c>
      <c r="Z103" s="10">
        <f t="shared" si="16"/>
        <v>643.73777637225794</v>
      </c>
    </row>
    <row r="104" spans="1:26" x14ac:dyDescent="0.25">
      <c r="A104" s="2" t="s">
        <v>99</v>
      </c>
      <c r="B104">
        <v>20</v>
      </c>
      <c r="C104">
        <v>297</v>
      </c>
      <c r="D104">
        <v>898</v>
      </c>
      <c r="E104">
        <v>770</v>
      </c>
      <c r="F104">
        <v>653</v>
      </c>
      <c r="G104">
        <v>745</v>
      </c>
      <c r="H104">
        <v>789</v>
      </c>
      <c r="I104">
        <v>341</v>
      </c>
      <c r="J104">
        <v>306</v>
      </c>
      <c r="K104">
        <v>835</v>
      </c>
      <c r="L104">
        <v>660</v>
      </c>
      <c r="M104">
        <v>606</v>
      </c>
      <c r="N104">
        <v>494</v>
      </c>
      <c r="O104" s="12">
        <v>0.95865451497546639</v>
      </c>
      <c r="P104" s="3">
        <v>2</v>
      </c>
      <c r="Q104" s="4">
        <v>282</v>
      </c>
      <c r="S104">
        <f t="shared" si="17"/>
        <v>7394</v>
      </c>
      <c r="T104" s="10">
        <f t="shared" si="10"/>
        <v>616.16666666666663</v>
      </c>
      <c r="U104" s="10">
        <f t="shared" si="11"/>
        <v>20.538888888888888</v>
      </c>
      <c r="V104" s="10">
        <f t="shared" si="12"/>
        <v>210.960070902414</v>
      </c>
      <c r="W104" s="11">
        <f t="shared" si="13"/>
        <v>0.66666666666666663</v>
      </c>
      <c r="X104" s="11">
        <f t="shared" si="14"/>
        <v>1.7352814257863383</v>
      </c>
      <c r="Y104" s="10">
        <f t="shared" si="15"/>
        <v>298.89906148664522</v>
      </c>
      <c r="Z104" s="10">
        <f t="shared" si="16"/>
        <v>709.67683926442305</v>
      </c>
    </row>
    <row r="105" spans="1:26" x14ac:dyDescent="0.25">
      <c r="A105" s="2" t="s">
        <v>100</v>
      </c>
      <c r="B105">
        <v>30</v>
      </c>
      <c r="C105">
        <v>791</v>
      </c>
      <c r="D105">
        <v>457</v>
      </c>
      <c r="E105">
        <v>722</v>
      </c>
      <c r="F105">
        <v>820</v>
      </c>
      <c r="G105">
        <v>815</v>
      </c>
      <c r="H105">
        <v>538</v>
      </c>
      <c r="I105">
        <v>664</v>
      </c>
      <c r="J105">
        <v>702</v>
      </c>
      <c r="K105">
        <v>452</v>
      </c>
      <c r="L105">
        <v>732</v>
      </c>
      <c r="M105">
        <v>500</v>
      </c>
      <c r="N105">
        <v>508</v>
      </c>
      <c r="O105" s="12">
        <v>0.95111088541265676</v>
      </c>
      <c r="P105" s="3">
        <v>4</v>
      </c>
      <c r="Q105" s="4">
        <v>221</v>
      </c>
      <c r="S105">
        <f t="shared" si="17"/>
        <v>7701</v>
      </c>
      <c r="T105" s="10">
        <f t="shared" si="10"/>
        <v>641.75</v>
      </c>
      <c r="U105" s="10">
        <f t="shared" si="11"/>
        <v>21.391666666666666</v>
      </c>
      <c r="V105" s="10">
        <f t="shared" si="12"/>
        <v>141.95333740352848</v>
      </c>
      <c r="W105" s="11">
        <f t="shared" si="13"/>
        <v>1</v>
      </c>
      <c r="X105" s="11">
        <f t="shared" si="14"/>
        <v>1.655721510186684</v>
      </c>
      <c r="Y105" s="10">
        <f t="shared" si="15"/>
        <v>235.03519418181008</v>
      </c>
      <c r="Z105" s="10">
        <f t="shared" si="16"/>
        <v>876.78519418181008</v>
      </c>
    </row>
    <row r="106" spans="1:26" x14ac:dyDescent="0.25">
      <c r="A106" s="2" t="s">
        <v>101</v>
      </c>
      <c r="B106">
        <v>26</v>
      </c>
      <c r="C106">
        <v>208</v>
      </c>
      <c r="D106">
        <v>475</v>
      </c>
      <c r="E106">
        <v>362</v>
      </c>
      <c r="F106">
        <v>698</v>
      </c>
      <c r="G106">
        <v>805</v>
      </c>
      <c r="H106">
        <v>815</v>
      </c>
      <c r="I106">
        <v>835</v>
      </c>
      <c r="J106">
        <v>499</v>
      </c>
      <c r="K106">
        <v>545</v>
      </c>
      <c r="L106">
        <v>405</v>
      </c>
      <c r="M106">
        <v>784</v>
      </c>
      <c r="N106">
        <v>688</v>
      </c>
      <c r="O106" s="12">
        <v>0.97377145920163688</v>
      </c>
      <c r="P106" s="3">
        <v>2</v>
      </c>
      <c r="Q106" s="4">
        <v>165</v>
      </c>
      <c r="S106">
        <f t="shared" si="17"/>
        <v>7119</v>
      </c>
      <c r="T106" s="10">
        <f t="shared" si="10"/>
        <v>593.25</v>
      </c>
      <c r="U106" s="10">
        <f t="shared" si="11"/>
        <v>19.774999999999999</v>
      </c>
      <c r="V106" s="10">
        <f t="shared" si="12"/>
        <v>206.99500433146162</v>
      </c>
      <c r="W106" s="11">
        <f t="shared" si="13"/>
        <v>0.8666666666666667</v>
      </c>
      <c r="X106" s="11">
        <f t="shared" si="14"/>
        <v>1.939363583147921</v>
      </c>
      <c r="Y106" s="10">
        <f t="shared" si="15"/>
        <v>373.7189733536872</v>
      </c>
      <c r="Z106" s="10">
        <f t="shared" si="16"/>
        <v>887.86897335368712</v>
      </c>
    </row>
    <row r="107" spans="1:26" x14ac:dyDescent="0.25">
      <c r="A107" s="2" t="s">
        <v>102</v>
      </c>
      <c r="B107">
        <v>19</v>
      </c>
      <c r="C107">
        <v>390</v>
      </c>
      <c r="D107">
        <v>561</v>
      </c>
      <c r="E107">
        <v>612</v>
      </c>
      <c r="F107">
        <v>871</v>
      </c>
      <c r="G107">
        <v>447</v>
      </c>
      <c r="H107">
        <v>416</v>
      </c>
      <c r="I107">
        <v>636</v>
      </c>
      <c r="J107">
        <v>258</v>
      </c>
      <c r="K107">
        <v>720</v>
      </c>
      <c r="L107">
        <v>389</v>
      </c>
      <c r="M107">
        <v>553</v>
      </c>
      <c r="N107">
        <v>797</v>
      </c>
      <c r="O107" s="12">
        <v>0.97035276794377301</v>
      </c>
      <c r="P107" s="3">
        <v>1</v>
      </c>
      <c r="Q107" s="4">
        <v>233</v>
      </c>
      <c r="S107">
        <f t="shared" si="17"/>
        <v>6650</v>
      </c>
      <c r="T107" s="10">
        <f t="shared" si="10"/>
        <v>554.16666666666663</v>
      </c>
      <c r="U107" s="10">
        <f t="shared" si="11"/>
        <v>18.472222222222221</v>
      </c>
      <c r="V107" s="10">
        <f t="shared" si="12"/>
        <v>183.26872139681726</v>
      </c>
      <c r="W107" s="11">
        <f t="shared" si="13"/>
        <v>0.6333333333333333</v>
      </c>
      <c r="X107" s="11">
        <f t="shared" si="14"/>
        <v>1.8860036402661218</v>
      </c>
      <c r="Y107" s="10">
        <f t="shared" si="15"/>
        <v>275.07242092359235</v>
      </c>
      <c r="Z107" s="10">
        <f t="shared" si="16"/>
        <v>626.04464314581458</v>
      </c>
    </row>
    <row r="108" spans="1:26" x14ac:dyDescent="0.25">
      <c r="A108" s="2" t="s">
        <v>103</v>
      </c>
      <c r="B108">
        <v>19</v>
      </c>
      <c r="C108">
        <v>393</v>
      </c>
      <c r="D108">
        <v>269</v>
      </c>
      <c r="E108">
        <v>711</v>
      </c>
      <c r="F108">
        <v>615</v>
      </c>
      <c r="G108">
        <v>463</v>
      </c>
      <c r="H108">
        <v>330</v>
      </c>
      <c r="I108">
        <v>813</v>
      </c>
      <c r="J108">
        <v>382</v>
      </c>
      <c r="K108">
        <v>414</v>
      </c>
      <c r="L108">
        <v>588</v>
      </c>
      <c r="M108">
        <v>365</v>
      </c>
      <c r="N108">
        <v>829</v>
      </c>
      <c r="O108" s="12">
        <v>0.95309116885972289</v>
      </c>
      <c r="P108" s="3">
        <v>1</v>
      </c>
      <c r="Q108" s="4">
        <v>174</v>
      </c>
      <c r="S108">
        <f t="shared" si="17"/>
        <v>6172</v>
      </c>
      <c r="T108" s="10">
        <f t="shared" si="10"/>
        <v>514.33333333333337</v>
      </c>
      <c r="U108" s="10">
        <f t="shared" si="11"/>
        <v>17.144444444444446</v>
      </c>
      <c r="V108" s="10">
        <f t="shared" si="12"/>
        <v>191.61008387458168</v>
      </c>
      <c r="W108" s="11">
        <f t="shared" si="13"/>
        <v>0.6333333333333333</v>
      </c>
      <c r="X108" s="11">
        <f t="shared" si="14"/>
        <v>1.6755944213066027</v>
      </c>
      <c r="Y108" s="10">
        <f t="shared" si="15"/>
        <v>255.50737480743783</v>
      </c>
      <c r="Z108" s="10">
        <f t="shared" si="16"/>
        <v>581.25181925188235</v>
      </c>
    </row>
    <row r="109" spans="1:26" x14ac:dyDescent="0.25">
      <c r="A109" s="2" t="s">
        <v>104</v>
      </c>
      <c r="B109">
        <v>30</v>
      </c>
      <c r="C109">
        <v>276</v>
      </c>
      <c r="D109">
        <v>860</v>
      </c>
      <c r="E109">
        <v>442</v>
      </c>
      <c r="F109">
        <v>571</v>
      </c>
      <c r="G109">
        <v>556</v>
      </c>
      <c r="H109">
        <v>764</v>
      </c>
      <c r="I109">
        <v>637</v>
      </c>
      <c r="J109">
        <v>651</v>
      </c>
      <c r="K109">
        <v>259</v>
      </c>
      <c r="L109">
        <v>597</v>
      </c>
      <c r="M109">
        <v>603</v>
      </c>
      <c r="N109">
        <v>347</v>
      </c>
      <c r="O109" s="12">
        <v>0.96660070860606673</v>
      </c>
      <c r="P109" s="3">
        <v>2</v>
      </c>
      <c r="Q109" s="4">
        <v>152</v>
      </c>
      <c r="S109">
        <f t="shared" si="17"/>
        <v>6563</v>
      </c>
      <c r="T109" s="10">
        <f t="shared" si="10"/>
        <v>546.91666666666663</v>
      </c>
      <c r="U109" s="10">
        <f t="shared" si="11"/>
        <v>18.230555555555554</v>
      </c>
      <c r="V109" s="10">
        <f t="shared" si="12"/>
        <v>185.29507589656865</v>
      </c>
      <c r="W109" s="11">
        <f t="shared" si="13"/>
        <v>1</v>
      </c>
      <c r="X109" s="11">
        <f t="shared" si="14"/>
        <v>1.8330268193805301</v>
      </c>
      <c r="Y109" s="10">
        <f t="shared" si="15"/>
        <v>339.65084361756118</v>
      </c>
      <c r="Z109" s="10">
        <f t="shared" si="16"/>
        <v>886.56751028422786</v>
      </c>
    </row>
    <row r="110" spans="1:26" x14ac:dyDescent="0.25">
      <c r="A110" s="2" t="s">
        <v>105</v>
      </c>
      <c r="B110">
        <v>22</v>
      </c>
      <c r="C110">
        <v>617</v>
      </c>
      <c r="D110">
        <v>803</v>
      </c>
      <c r="E110">
        <v>441</v>
      </c>
      <c r="F110">
        <v>278</v>
      </c>
      <c r="G110">
        <v>360</v>
      </c>
      <c r="H110">
        <v>300</v>
      </c>
      <c r="I110">
        <v>823</v>
      </c>
      <c r="J110">
        <v>738</v>
      </c>
      <c r="K110">
        <v>207</v>
      </c>
      <c r="L110">
        <v>579</v>
      </c>
      <c r="M110">
        <v>522</v>
      </c>
      <c r="N110">
        <v>665</v>
      </c>
      <c r="O110" s="12">
        <v>0.96778694725448855</v>
      </c>
      <c r="P110" s="3">
        <v>1</v>
      </c>
      <c r="Q110" s="4">
        <v>292</v>
      </c>
      <c r="S110">
        <f t="shared" si="17"/>
        <v>6333</v>
      </c>
      <c r="T110" s="10">
        <f t="shared" si="10"/>
        <v>527.75</v>
      </c>
      <c r="U110" s="10">
        <f t="shared" si="11"/>
        <v>17.591666666666665</v>
      </c>
      <c r="V110" s="10">
        <f t="shared" si="12"/>
        <v>210.92744336296394</v>
      </c>
      <c r="W110" s="11">
        <f t="shared" si="13"/>
        <v>0.73333333333333328</v>
      </c>
      <c r="X110" s="11">
        <f t="shared" si="14"/>
        <v>1.8492196289517766</v>
      </c>
      <c r="Y110" s="10">
        <f t="shared" si="15"/>
        <v>334.01986517486245</v>
      </c>
      <c r="Z110" s="10">
        <f t="shared" si="16"/>
        <v>721.03653184152904</v>
      </c>
    </row>
    <row r="111" spans="1:26" x14ac:dyDescent="0.25">
      <c r="A111" s="2" t="s">
        <v>106</v>
      </c>
      <c r="B111">
        <v>22</v>
      </c>
      <c r="C111">
        <v>210</v>
      </c>
      <c r="D111">
        <v>319</v>
      </c>
      <c r="E111">
        <v>554</v>
      </c>
      <c r="F111">
        <v>693</v>
      </c>
      <c r="G111">
        <v>300</v>
      </c>
      <c r="H111">
        <v>812</v>
      </c>
      <c r="I111">
        <v>508</v>
      </c>
      <c r="J111">
        <v>598</v>
      </c>
      <c r="K111">
        <v>559</v>
      </c>
      <c r="L111">
        <v>592</v>
      </c>
      <c r="M111">
        <v>471</v>
      </c>
      <c r="N111">
        <v>666</v>
      </c>
      <c r="O111" s="12">
        <v>0.96538256137055878</v>
      </c>
      <c r="P111" s="3">
        <v>2</v>
      </c>
      <c r="Q111" s="4">
        <v>173</v>
      </c>
      <c r="S111">
        <f t="shared" si="17"/>
        <v>6282</v>
      </c>
      <c r="T111" s="10">
        <f t="shared" si="10"/>
        <v>523.5</v>
      </c>
      <c r="U111" s="10">
        <f t="shared" si="11"/>
        <v>17.45</v>
      </c>
      <c r="V111" s="10">
        <f t="shared" si="12"/>
        <v>175.22790354797428</v>
      </c>
      <c r="W111" s="11">
        <f t="shared" si="13"/>
        <v>0.73333333333333328</v>
      </c>
      <c r="X111" s="11">
        <f t="shared" si="14"/>
        <v>1.8168839989185075</v>
      </c>
      <c r="Y111" s="10">
        <f t="shared" si="15"/>
        <v>272.63472995735998</v>
      </c>
      <c r="Z111" s="10">
        <f t="shared" si="16"/>
        <v>656.53472995736001</v>
      </c>
    </row>
    <row r="112" spans="1:26" x14ac:dyDescent="0.25">
      <c r="A112" s="2" t="s">
        <v>107</v>
      </c>
      <c r="B112">
        <v>21</v>
      </c>
      <c r="C112">
        <v>333</v>
      </c>
      <c r="D112">
        <v>435</v>
      </c>
      <c r="E112">
        <v>534</v>
      </c>
      <c r="F112">
        <v>281</v>
      </c>
      <c r="G112">
        <v>746</v>
      </c>
      <c r="H112">
        <v>819</v>
      </c>
      <c r="I112">
        <v>599</v>
      </c>
      <c r="J112">
        <v>287</v>
      </c>
      <c r="K112">
        <v>723</v>
      </c>
      <c r="L112">
        <v>411</v>
      </c>
      <c r="M112">
        <v>270</v>
      </c>
      <c r="N112">
        <v>843</v>
      </c>
      <c r="O112" s="12">
        <v>0.95943319471634125</v>
      </c>
      <c r="P112" s="3">
        <v>1</v>
      </c>
      <c r="Q112" s="4">
        <v>243</v>
      </c>
      <c r="S112">
        <f t="shared" si="17"/>
        <v>6281</v>
      </c>
      <c r="T112" s="10">
        <f t="shared" si="10"/>
        <v>523.41666666666663</v>
      </c>
      <c r="U112" s="10">
        <f t="shared" si="11"/>
        <v>17.447222222222219</v>
      </c>
      <c r="V112" s="10">
        <f t="shared" si="12"/>
        <v>217.48498729100749</v>
      </c>
      <c r="W112" s="11">
        <f t="shared" si="13"/>
        <v>0.7</v>
      </c>
      <c r="X112" s="11">
        <f t="shared" si="14"/>
        <v>1.7441461380881749</v>
      </c>
      <c r="Y112" s="10">
        <f t="shared" si="15"/>
        <v>317.36656712644094</v>
      </c>
      <c r="Z112" s="10">
        <f t="shared" si="16"/>
        <v>683.75823379310759</v>
      </c>
    </row>
    <row r="113" spans="1:26" x14ac:dyDescent="0.25">
      <c r="A113" s="2" t="s">
        <v>108</v>
      </c>
      <c r="B113">
        <v>26</v>
      </c>
      <c r="C113">
        <v>776</v>
      </c>
      <c r="D113">
        <v>598</v>
      </c>
      <c r="E113">
        <v>331</v>
      </c>
      <c r="F113">
        <v>219</v>
      </c>
      <c r="G113">
        <v>630</v>
      </c>
      <c r="H113">
        <v>676</v>
      </c>
      <c r="I113">
        <v>705</v>
      </c>
      <c r="J113">
        <v>601</v>
      </c>
      <c r="K113">
        <v>514</v>
      </c>
      <c r="L113">
        <v>700</v>
      </c>
      <c r="M113">
        <v>804</v>
      </c>
      <c r="N113">
        <v>305</v>
      </c>
      <c r="O113" s="12">
        <v>0.9706534301803238</v>
      </c>
      <c r="P113" s="3">
        <v>4</v>
      </c>
      <c r="Q113" s="4">
        <v>193</v>
      </c>
      <c r="S113">
        <f t="shared" si="17"/>
        <v>6859</v>
      </c>
      <c r="T113" s="10">
        <f t="shared" si="10"/>
        <v>571.58333333333337</v>
      </c>
      <c r="U113" s="10">
        <f t="shared" si="11"/>
        <v>19.052777777777781</v>
      </c>
      <c r="V113" s="10">
        <f t="shared" si="12"/>
        <v>191.29960240101877</v>
      </c>
      <c r="W113" s="11">
        <f t="shared" si="13"/>
        <v>0.8666666666666667</v>
      </c>
      <c r="X113" s="11">
        <f t="shared" si="14"/>
        <v>1.8904848892845223</v>
      </c>
      <c r="Y113" s="10">
        <f t="shared" si="15"/>
        <v>336.67690364190452</v>
      </c>
      <c r="Z113" s="10">
        <f t="shared" si="16"/>
        <v>832.04912586412684</v>
      </c>
    </row>
    <row r="114" spans="1:26" x14ac:dyDescent="0.25">
      <c r="A114" s="2" t="s">
        <v>109</v>
      </c>
      <c r="B114">
        <v>25</v>
      </c>
      <c r="C114">
        <v>878</v>
      </c>
      <c r="D114">
        <v>568</v>
      </c>
      <c r="E114">
        <v>873</v>
      </c>
      <c r="F114">
        <v>238</v>
      </c>
      <c r="G114">
        <v>724</v>
      </c>
      <c r="H114">
        <v>532</v>
      </c>
      <c r="I114">
        <v>250</v>
      </c>
      <c r="J114">
        <v>768</v>
      </c>
      <c r="K114">
        <v>299</v>
      </c>
      <c r="L114">
        <v>505</v>
      </c>
      <c r="M114">
        <v>509</v>
      </c>
      <c r="N114">
        <v>342</v>
      </c>
      <c r="O114" s="12">
        <v>0.97946481757186787</v>
      </c>
      <c r="P114" s="3">
        <v>4</v>
      </c>
      <c r="Q114" s="4">
        <v>214</v>
      </c>
      <c r="S114">
        <f t="shared" si="17"/>
        <v>6486</v>
      </c>
      <c r="T114" s="10">
        <f t="shared" si="10"/>
        <v>540.5</v>
      </c>
      <c r="U114" s="10">
        <f t="shared" si="11"/>
        <v>18.016666666666666</v>
      </c>
      <c r="V114" s="10">
        <f t="shared" si="12"/>
        <v>230.92560785594213</v>
      </c>
      <c r="W114" s="11">
        <f t="shared" si="13"/>
        <v>0.83333333333333337</v>
      </c>
      <c r="X114" s="11">
        <f t="shared" si="14"/>
        <v>2.0428189407737176</v>
      </c>
      <c r="Y114" s="10">
        <f t="shared" si="15"/>
        <v>430.63700697898787</v>
      </c>
      <c r="Z114" s="10">
        <f t="shared" si="16"/>
        <v>881.0536736456545</v>
      </c>
    </row>
    <row r="115" spans="1:26" x14ac:dyDescent="0.25">
      <c r="A115" s="2" t="s">
        <v>110</v>
      </c>
      <c r="B115">
        <v>27</v>
      </c>
      <c r="C115">
        <v>811</v>
      </c>
      <c r="D115">
        <v>743</v>
      </c>
      <c r="E115">
        <v>416</v>
      </c>
      <c r="F115">
        <v>621</v>
      </c>
      <c r="G115">
        <v>705</v>
      </c>
      <c r="H115">
        <v>649</v>
      </c>
      <c r="I115">
        <v>361</v>
      </c>
      <c r="J115">
        <v>806</v>
      </c>
      <c r="K115">
        <v>842</v>
      </c>
      <c r="L115">
        <v>668</v>
      </c>
      <c r="M115">
        <v>647</v>
      </c>
      <c r="N115">
        <v>478</v>
      </c>
      <c r="O115" s="12">
        <v>0.9613606899246161</v>
      </c>
      <c r="P115" s="3">
        <v>1</v>
      </c>
      <c r="Q115" s="4">
        <v>194</v>
      </c>
      <c r="S115">
        <f t="shared" si="17"/>
        <v>7747</v>
      </c>
      <c r="T115" s="10">
        <f t="shared" si="10"/>
        <v>645.58333333333337</v>
      </c>
      <c r="U115" s="10">
        <f t="shared" si="11"/>
        <v>21.519444444444446</v>
      </c>
      <c r="V115" s="10">
        <f t="shared" si="12"/>
        <v>155.97112689290429</v>
      </c>
      <c r="W115" s="11">
        <f t="shared" si="13"/>
        <v>0.9</v>
      </c>
      <c r="X115" s="11">
        <f t="shared" si="14"/>
        <v>1.766699183776649</v>
      </c>
      <c r="Y115" s="10">
        <f t="shared" si="15"/>
        <v>261.41353687431672</v>
      </c>
      <c r="Z115" s="10">
        <f t="shared" si="16"/>
        <v>842.43853687431681</v>
      </c>
    </row>
    <row r="116" spans="1:26" x14ac:dyDescent="0.25">
      <c r="A116" s="2" t="s">
        <v>111</v>
      </c>
      <c r="B116">
        <v>25</v>
      </c>
      <c r="C116">
        <v>581</v>
      </c>
      <c r="D116">
        <v>896</v>
      </c>
      <c r="E116">
        <v>701</v>
      </c>
      <c r="F116">
        <v>499</v>
      </c>
      <c r="G116">
        <v>221</v>
      </c>
      <c r="H116">
        <v>867</v>
      </c>
      <c r="I116">
        <v>322</v>
      </c>
      <c r="J116">
        <v>257</v>
      </c>
      <c r="K116">
        <v>627</v>
      </c>
      <c r="L116">
        <v>701</v>
      </c>
      <c r="M116">
        <v>806</v>
      </c>
      <c r="N116">
        <v>614</v>
      </c>
      <c r="O116" s="12">
        <v>0.95658667463140368</v>
      </c>
      <c r="P116" s="3">
        <v>2</v>
      </c>
      <c r="Q116" s="4">
        <v>202</v>
      </c>
      <c r="S116">
        <f t="shared" si="17"/>
        <v>7092</v>
      </c>
      <c r="T116" s="10">
        <f t="shared" si="10"/>
        <v>591</v>
      </c>
      <c r="U116" s="10">
        <f t="shared" si="11"/>
        <v>19.7</v>
      </c>
      <c r="V116" s="10">
        <f t="shared" si="12"/>
        <v>227.80214700879836</v>
      </c>
      <c r="W116" s="11">
        <f t="shared" si="13"/>
        <v>0.83333333333333337</v>
      </c>
      <c r="X116" s="11">
        <f t="shared" si="14"/>
        <v>1.7123800630247585</v>
      </c>
      <c r="Y116" s="10">
        <f t="shared" si="15"/>
        <v>356.09621103511171</v>
      </c>
      <c r="Z116" s="10">
        <f t="shared" si="16"/>
        <v>848.59621103511176</v>
      </c>
    </row>
    <row r="117" spans="1:26" x14ac:dyDescent="0.25">
      <c r="A117" s="2" t="s">
        <v>112</v>
      </c>
      <c r="B117">
        <v>21</v>
      </c>
      <c r="C117">
        <v>779</v>
      </c>
      <c r="D117">
        <v>666</v>
      </c>
      <c r="E117">
        <v>638</v>
      </c>
      <c r="F117">
        <v>459</v>
      </c>
      <c r="G117">
        <v>363</v>
      </c>
      <c r="H117">
        <v>464</v>
      </c>
      <c r="I117">
        <v>659</v>
      </c>
      <c r="J117">
        <v>613</v>
      </c>
      <c r="K117">
        <v>515</v>
      </c>
      <c r="L117">
        <v>760</v>
      </c>
      <c r="M117">
        <v>545</v>
      </c>
      <c r="N117">
        <v>501</v>
      </c>
      <c r="O117" s="12">
        <v>0.96760515710798023</v>
      </c>
      <c r="P117" s="3">
        <v>2</v>
      </c>
      <c r="Q117" s="4">
        <v>261</v>
      </c>
      <c r="S117">
        <f t="shared" si="17"/>
        <v>6962</v>
      </c>
      <c r="T117" s="10">
        <f t="shared" si="10"/>
        <v>580.16666666666663</v>
      </c>
      <c r="U117" s="10">
        <f t="shared" si="11"/>
        <v>19.338888888888889</v>
      </c>
      <c r="V117" s="10">
        <f t="shared" si="12"/>
        <v>126.83836051041374</v>
      </c>
      <c r="W117" s="11">
        <f t="shared" si="13"/>
        <v>0.7</v>
      </c>
      <c r="X117" s="11">
        <f t="shared" si="14"/>
        <v>1.8467065231371336</v>
      </c>
      <c r="Y117" s="10">
        <f t="shared" si="15"/>
        <v>195.97357853493961</v>
      </c>
      <c r="Z117" s="10">
        <f t="shared" si="16"/>
        <v>602.09024520160631</v>
      </c>
    </row>
    <row r="118" spans="1:26" x14ac:dyDescent="0.25">
      <c r="A118" s="2" t="s">
        <v>113</v>
      </c>
      <c r="B118">
        <v>19</v>
      </c>
      <c r="C118">
        <v>288</v>
      </c>
      <c r="D118">
        <v>407</v>
      </c>
      <c r="E118">
        <v>684</v>
      </c>
      <c r="F118">
        <v>523</v>
      </c>
      <c r="G118">
        <v>589</v>
      </c>
      <c r="H118">
        <v>356</v>
      </c>
      <c r="I118">
        <v>844</v>
      </c>
      <c r="J118">
        <v>728</v>
      </c>
      <c r="K118">
        <v>830</v>
      </c>
      <c r="L118">
        <v>459</v>
      </c>
      <c r="M118">
        <v>743</v>
      </c>
      <c r="N118">
        <v>617</v>
      </c>
      <c r="O118" s="12">
        <v>0.95581016376129879</v>
      </c>
      <c r="P118" s="3">
        <v>4</v>
      </c>
      <c r="Q118" s="4">
        <v>300</v>
      </c>
      <c r="S118">
        <f t="shared" si="17"/>
        <v>7068</v>
      </c>
      <c r="T118" s="10">
        <f t="shared" si="10"/>
        <v>589</v>
      </c>
      <c r="U118" s="10">
        <f t="shared" si="11"/>
        <v>19.633333333333333</v>
      </c>
      <c r="V118" s="10">
        <f t="shared" si="12"/>
        <v>184.6918810047992</v>
      </c>
      <c r="W118" s="11">
        <f t="shared" si="13"/>
        <v>0.6333333333333333</v>
      </c>
      <c r="X118" s="11">
        <f t="shared" si="14"/>
        <v>1.7040075728382853</v>
      </c>
      <c r="Y118" s="10">
        <f t="shared" si="15"/>
        <v>250.45834012269543</v>
      </c>
      <c r="Z118" s="10">
        <f t="shared" si="16"/>
        <v>623.49167345602871</v>
      </c>
    </row>
    <row r="119" spans="1:26" x14ac:dyDescent="0.25">
      <c r="A119" s="2" t="s">
        <v>114</v>
      </c>
      <c r="B119">
        <v>20</v>
      </c>
      <c r="C119">
        <v>774</v>
      </c>
      <c r="D119">
        <v>792</v>
      </c>
      <c r="E119">
        <v>475</v>
      </c>
      <c r="F119">
        <v>375</v>
      </c>
      <c r="G119">
        <v>656</v>
      </c>
      <c r="H119">
        <v>304</v>
      </c>
      <c r="I119">
        <v>443</v>
      </c>
      <c r="J119">
        <v>321</v>
      </c>
      <c r="K119">
        <v>302</v>
      </c>
      <c r="L119">
        <v>785</v>
      </c>
      <c r="M119">
        <v>418</v>
      </c>
      <c r="N119">
        <v>358</v>
      </c>
      <c r="O119" s="12">
        <v>0.96239963847278498</v>
      </c>
      <c r="P119" s="3">
        <v>2</v>
      </c>
      <c r="Q119" s="4">
        <v>295</v>
      </c>
      <c r="S119">
        <f t="shared" si="17"/>
        <v>6003</v>
      </c>
      <c r="T119" s="10">
        <f t="shared" si="10"/>
        <v>500.25</v>
      </c>
      <c r="U119" s="10">
        <f t="shared" si="11"/>
        <v>16.675000000000001</v>
      </c>
      <c r="V119" s="10">
        <f t="shared" si="12"/>
        <v>195.85436379662775</v>
      </c>
      <c r="W119" s="11">
        <f t="shared" si="13"/>
        <v>0.66666666666666663</v>
      </c>
      <c r="X119" s="11">
        <f t="shared" si="14"/>
        <v>1.7792381694690471</v>
      </c>
      <c r="Y119" s="10">
        <f t="shared" si="15"/>
        <v>284.5258370652279</v>
      </c>
      <c r="Z119" s="10">
        <f t="shared" si="16"/>
        <v>618.02583706522796</v>
      </c>
    </row>
    <row r="120" spans="1:26" x14ac:dyDescent="0.25">
      <c r="A120" s="2" t="s">
        <v>115</v>
      </c>
      <c r="B120">
        <v>25</v>
      </c>
      <c r="C120">
        <v>292</v>
      </c>
      <c r="D120">
        <v>405</v>
      </c>
      <c r="E120">
        <v>602</v>
      </c>
      <c r="F120">
        <v>519</v>
      </c>
      <c r="G120">
        <v>344</v>
      </c>
      <c r="H120">
        <v>362</v>
      </c>
      <c r="I120">
        <v>710</v>
      </c>
      <c r="J120">
        <v>549</v>
      </c>
      <c r="K120">
        <v>660</v>
      </c>
      <c r="L120">
        <v>593</v>
      </c>
      <c r="M120">
        <v>453</v>
      </c>
      <c r="N120">
        <v>898</v>
      </c>
      <c r="O120" s="12">
        <v>0.96310988785819363</v>
      </c>
      <c r="P120" s="3">
        <v>3</v>
      </c>
      <c r="Q120" s="4">
        <v>234</v>
      </c>
      <c r="S120">
        <f t="shared" si="17"/>
        <v>6387</v>
      </c>
      <c r="T120" s="10">
        <f t="shared" si="10"/>
        <v>532.25</v>
      </c>
      <c r="U120" s="10">
        <f t="shared" si="11"/>
        <v>17.741666666666667</v>
      </c>
      <c r="V120" s="10">
        <f t="shared" si="12"/>
        <v>174.59466044110701</v>
      </c>
      <c r="W120" s="11">
        <f t="shared" si="13"/>
        <v>0.83333333333333337</v>
      </c>
      <c r="X120" s="11">
        <f t="shared" si="14"/>
        <v>1.7879738660581428</v>
      </c>
      <c r="Y120" s="10">
        <f t="shared" si="15"/>
        <v>284.97154786166573</v>
      </c>
      <c r="Z120" s="10">
        <f t="shared" si="16"/>
        <v>728.51321452833236</v>
      </c>
    </row>
    <row r="121" spans="1:26" x14ac:dyDescent="0.25">
      <c r="A121" s="2" t="s">
        <v>116</v>
      </c>
      <c r="B121">
        <v>28</v>
      </c>
      <c r="C121">
        <v>886</v>
      </c>
      <c r="D121">
        <v>269</v>
      </c>
      <c r="E121">
        <v>852</v>
      </c>
      <c r="F121">
        <v>847</v>
      </c>
      <c r="G121">
        <v>564</v>
      </c>
      <c r="H121">
        <v>688</v>
      </c>
      <c r="I121">
        <v>508</v>
      </c>
      <c r="J121">
        <v>810</v>
      </c>
      <c r="K121">
        <v>278</v>
      </c>
      <c r="L121">
        <v>792</v>
      </c>
      <c r="M121">
        <v>534</v>
      </c>
      <c r="N121">
        <v>548</v>
      </c>
      <c r="O121" s="12">
        <v>0.97473437705567167</v>
      </c>
      <c r="P121" s="3">
        <v>1</v>
      </c>
      <c r="Q121" s="4">
        <v>196</v>
      </c>
      <c r="S121">
        <f t="shared" si="17"/>
        <v>7576</v>
      </c>
      <c r="T121" s="10">
        <f t="shared" si="10"/>
        <v>631.33333333333337</v>
      </c>
      <c r="U121" s="10">
        <f t="shared" si="11"/>
        <v>21.044444444444444</v>
      </c>
      <c r="V121" s="10">
        <f t="shared" si="12"/>
        <v>216.01781632471196</v>
      </c>
      <c r="W121" s="11">
        <f t="shared" si="13"/>
        <v>0.93333333333333335</v>
      </c>
      <c r="X121" s="11">
        <f t="shared" si="14"/>
        <v>1.9554392610843612</v>
      </c>
      <c r="Y121" s="10">
        <f t="shared" si="15"/>
        <v>408.08655874920697</v>
      </c>
      <c r="Z121" s="10">
        <f t="shared" si="16"/>
        <v>997.33100319365144</v>
      </c>
    </row>
    <row r="122" spans="1:26" x14ac:dyDescent="0.25">
      <c r="A122" s="2" t="s">
        <v>117</v>
      </c>
      <c r="B122">
        <v>28</v>
      </c>
      <c r="C122">
        <v>274</v>
      </c>
      <c r="D122">
        <v>690</v>
      </c>
      <c r="E122">
        <v>420</v>
      </c>
      <c r="F122">
        <v>220</v>
      </c>
      <c r="G122">
        <v>578</v>
      </c>
      <c r="H122">
        <v>403</v>
      </c>
      <c r="I122">
        <v>797</v>
      </c>
      <c r="J122">
        <v>586</v>
      </c>
      <c r="K122">
        <v>587</v>
      </c>
      <c r="L122">
        <v>575</v>
      </c>
      <c r="M122">
        <v>214</v>
      </c>
      <c r="N122">
        <v>711</v>
      </c>
      <c r="O122" s="12">
        <v>0.95562950024685434</v>
      </c>
      <c r="P122" s="3">
        <v>1</v>
      </c>
      <c r="Q122" s="4">
        <v>207</v>
      </c>
      <c r="S122">
        <f t="shared" si="17"/>
        <v>6055</v>
      </c>
      <c r="T122" s="10">
        <f t="shared" si="10"/>
        <v>504.58333333333331</v>
      </c>
      <c r="U122" s="10">
        <f t="shared" si="11"/>
        <v>16.819444444444443</v>
      </c>
      <c r="V122" s="10">
        <f t="shared" si="12"/>
        <v>195.94361820470576</v>
      </c>
      <c r="W122" s="11">
        <f t="shared" si="13"/>
        <v>0.93333333333333335</v>
      </c>
      <c r="X122" s="11">
        <f t="shared" si="14"/>
        <v>1.7020766550172823</v>
      </c>
      <c r="Y122" s="10">
        <f t="shared" si="15"/>
        <v>322.20229293739521</v>
      </c>
      <c r="Z122" s="10">
        <f t="shared" si="16"/>
        <v>793.14673738183956</v>
      </c>
    </row>
    <row r="123" spans="1:26" x14ac:dyDescent="0.25">
      <c r="A123" s="2" t="s">
        <v>118</v>
      </c>
      <c r="B123">
        <v>19</v>
      </c>
      <c r="C123">
        <v>625</v>
      </c>
      <c r="D123">
        <v>365</v>
      </c>
      <c r="E123">
        <v>702</v>
      </c>
      <c r="F123">
        <v>844</v>
      </c>
      <c r="G123">
        <v>217</v>
      </c>
      <c r="H123">
        <v>545</v>
      </c>
      <c r="I123">
        <v>786</v>
      </c>
      <c r="J123">
        <v>853</v>
      </c>
      <c r="K123">
        <v>338</v>
      </c>
      <c r="L123">
        <v>470</v>
      </c>
      <c r="M123">
        <v>496</v>
      </c>
      <c r="N123">
        <v>385</v>
      </c>
      <c r="O123" s="12">
        <v>0.95501997084223256</v>
      </c>
      <c r="P123" s="3">
        <v>4</v>
      </c>
      <c r="Q123" s="4">
        <v>150</v>
      </c>
      <c r="S123">
        <f t="shared" si="17"/>
        <v>6626</v>
      </c>
      <c r="T123" s="10">
        <f t="shared" si="10"/>
        <v>552.16666666666663</v>
      </c>
      <c r="U123" s="10">
        <f t="shared" si="11"/>
        <v>18.405555555555555</v>
      </c>
      <c r="V123" s="10">
        <f t="shared" si="12"/>
        <v>210.89369719162187</v>
      </c>
      <c r="W123" s="11">
        <f t="shared" si="13"/>
        <v>0.6333333333333333</v>
      </c>
      <c r="X123" s="11">
        <f t="shared" si="14"/>
        <v>1.695608440166138</v>
      </c>
      <c r="Y123" s="10">
        <f t="shared" si="15"/>
        <v>284.58063448614411</v>
      </c>
      <c r="Z123" s="10">
        <f t="shared" si="16"/>
        <v>634.28619004169968</v>
      </c>
    </row>
    <row r="124" spans="1:26" x14ac:dyDescent="0.25">
      <c r="A124" s="2" t="s">
        <v>119</v>
      </c>
      <c r="B124">
        <v>21</v>
      </c>
      <c r="C124">
        <v>731</v>
      </c>
      <c r="D124">
        <v>210</v>
      </c>
      <c r="E124">
        <v>841</v>
      </c>
      <c r="F124">
        <v>416</v>
      </c>
      <c r="G124">
        <v>389</v>
      </c>
      <c r="H124">
        <v>581</v>
      </c>
      <c r="I124">
        <v>259</v>
      </c>
      <c r="J124">
        <v>272</v>
      </c>
      <c r="K124">
        <v>460</v>
      </c>
      <c r="L124">
        <v>713</v>
      </c>
      <c r="M124">
        <v>608</v>
      </c>
      <c r="N124">
        <v>760</v>
      </c>
      <c r="O124" s="12">
        <v>0.95116651275281816</v>
      </c>
      <c r="P124" s="3">
        <v>4</v>
      </c>
      <c r="Q124" s="4">
        <v>171</v>
      </c>
      <c r="S124">
        <f t="shared" si="17"/>
        <v>6240</v>
      </c>
      <c r="T124" s="10">
        <f t="shared" si="10"/>
        <v>520</v>
      </c>
      <c r="U124" s="10">
        <f t="shared" si="11"/>
        <v>17.333333333333332</v>
      </c>
      <c r="V124" s="10">
        <f t="shared" si="12"/>
        <v>215.5707013319001</v>
      </c>
      <c r="W124" s="11">
        <f t="shared" si="13"/>
        <v>0.7</v>
      </c>
      <c r="X124" s="11">
        <f t="shared" si="14"/>
        <v>1.6562708817549183</v>
      </c>
      <c r="Y124" s="10">
        <f t="shared" si="15"/>
        <v>298.7240037488267</v>
      </c>
      <c r="Z124" s="10">
        <f t="shared" si="16"/>
        <v>662.7240037488267</v>
      </c>
    </row>
    <row r="125" spans="1:26" x14ac:dyDescent="0.25">
      <c r="A125" s="2" t="s">
        <v>120</v>
      </c>
      <c r="B125">
        <v>26</v>
      </c>
      <c r="C125">
        <v>888</v>
      </c>
      <c r="D125">
        <v>255</v>
      </c>
      <c r="E125">
        <v>513</v>
      </c>
      <c r="F125">
        <v>833</v>
      </c>
      <c r="G125">
        <v>205</v>
      </c>
      <c r="H125">
        <v>726</v>
      </c>
      <c r="I125">
        <v>325</v>
      </c>
      <c r="J125">
        <v>649</v>
      </c>
      <c r="K125">
        <v>325</v>
      </c>
      <c r="L125">
        <v>547</v>
      </c>
      <c r="M125">
        <v>266</v>
      </c>
      <c r="N125">
        <v>294</v>
      </c>
      <c r="O125" s="12">
        <v>0.97061592612681946</v>
      </c>
      <c r="P125" s="3">
        <v>1</v>
      </c>
      <c r="Q125" s="4">
        <v>171</v>
      </c>
      <c r="S125">
        <f t="shared" si="17"/>
        <v>5826</v>
      </c>
      <c r="T125" s="10">
        <f t="shared" si="10"/>
        <v>485.5</v>
      </c>
      <c r="U125" s="10">
        <f t="shared" si="11"/>
        <v>16.183333333333334</v>
      </c>
      <c r="V125" s="10">
        <f t="shared" si="12"/>
        <v>241.21981676470944</v>
      </c>
      <c r="W125" s="11">
        <f t="shared" si="13"/>
        <v>0.8666666666666667</v>
      </c>
      <c r="X125" s="11">
        <f t="shared" si="14"/>
        <v>1.8899238315677778</v>
      </c>
      <c r="Y125" s="10">
        <f t="shared" si="15"/>
        <v>424.40777485739295</v>
      </c>
      <c r="Z125" s="10">
        <f t="shared" si="16"/>
        <v>845.1744415240596</v>
      </c>
    </row>
    <row r="126" spans="1:26" x14ac:dyDescent="0.25">
      <c r="A126" s="2" t="s">
        <v>121</v>
      </c>
      <c r="B126">
        <v>20</v>
      </c>
      <c r="C126">
        <v>888</v>
      </c>
      <c r="D126">
        <v>712</v>
      </c>
      <c r="E126">
        <v>755</v>
      </c>
      <c r="F126">
        <v>553</v>
      </c>
      <c r="G126">
        <v>844</v>
      </c>
      <c r="H126">
        <v>493</v>
      </c>
      <c r="I126">
        <v>556</v>
      </c>
      <c r="J126">
        <v>261</v>
      </c>
      <c r="K126">
        <v>715</v>
      </c>
      <c r="L126">
        <v>448</v>
      </c>
      <c r="M126">
        <v>311</v>
      </c>
      <c r="N126">
        <v>416</v>
      </c>
      <c r="O126" s="12">
        <v>0.95867978026501599</v>
      </c>
      <c r="P126" s="3">
        <v>1</v>
      </c>
      <c r="Q126" s="4">
        <v>179</v>
      </c>
      <c r="S126">
        <f t="shared" si="17"/>
        <v>6952</v>
      </c>
      <c r="T126" s="10">
        <f t="shared" si="10"/>
        <v>579.33333333333337</v>
      </c>
      <c r="U126" s="10">
        <f t="shared" si="11"/>
        <v>19.311111111111114</v>
      </c>
      <c r="V126" s="10">
        <f t="shared" si="12"/>
        <v>204.08212844714046</v>
      </c>
      <c r="W126" s="11">
        <f t="shared" si="13"/>
        <v>0.66666666666666663</v>
      </c>
      <c r="X126" s="11">
        <f t="shared" si="14"/>
        <v>1.735566919084474</v>
      </c>
      <c r="Y126" s="10">
        <f t="shared" si="15"/>
        <v>289.20161184815225</v>
      </c>
      <c r="Z126" s="10">
        <f t="shared" si="16"/>
        <v>675.4238340703746</v>
      </c>
    </row>
    <row r="127" spans="1:26" x14ac:dyDescent="0.25">
      <c r="A127" s="2" t="s">
        <v>122</v>
      </c>
      <c r="B127">
        <v>27</v>
      </c>
      <c r="C127">
        <v>898</v>
      </c>
      <c r="D127">
        <v>879</v>
      </c>
      <c r="E127">
        <v>837</v>
      </c>
      <c r="F127">
        <v>516</v>
      </c>
      <c r="G127">
        <v>325</v>
      </c>
      <c r="H127">
        <v>775</v>
      </c>
      <c r="I127">
        <v>671</v>
      </c>
      <c r="J127">
        <v>376</v>
      </c>
      <c r="K127">
        <v>304</v>
      </c>
      <c r="L127">
        <v>488</v>
      </c>
      <c r="M127">
        <v>360</v>
      </c>
      <c r="N127">
        <v>592</v>
      </c>
      <c r="O127" s="12">
        <v>0.9505706106931936</v>
      </c>
      <c r="P127" s="3">
        <v>1</v>
      </c>
      <c r="Q127" s="4">
        <v>252</v>
      </c>
      <c r="S127">
        <f t="shared" si="17"/>
        <v>7021</v>
      </c>
      <c r="T127" s="10">
        <f t="shared" si="10"/>
        <v>585.08333333333337</v>
      </c>
      <c r="U127" s="10">
        <f t="shared" si="11"/>
        <v>19.50277777777778</v>
      </c>
      <c r="V127" s="10">
        <f t="shared" si="12"/>
        <v>222.89233370450947</v>
      </c>
      <c r="W127" s="11">
        <f t="shared" si="13"/>
        <v>0.9</v>
      </c>
      <c r="X127" s="11">
        <f t="shared" si="14"/>
        <v>1.6504116075845501</v>
      </c>
      <c r="Y127" s="10">
        <f t="shared" si="15"/>
        <v>348.98652267740221</v>
      </c>
      <c r="Z127" s="10">
        <f t="shared" si="16"/>
        <v>875.56152267740231</v>
      </c>
    </row>
    <row r="128" spans="1:26" x14ac:dyDescent="0.25">
      <c r="A128" s="2" t="s">
        <v>123</v>
      </c>
      <c r="B128">
        <v>21</v>
      </c>
      <c r="C128">
        <v>717</v>
      </c>
      <c r="D128">
        <v>321</v>
      </c>
      <c r="E128">
        <v>531</v>
      </c>
      <c r="F128">
        <v>489</v>
      </c>
      <c r="G128">
        <v>319</v>
      </c>
      <c r="H128">
        <v>546</v>
      </c>
      <c r="I128">
        <v>319</v>
      </c>
      <c r="J128">
        <v>851</v>
      </c>
      <c r="K128">
        <v>673</v>
      </c>
      <c r="L128">
        <v>298</v>
      </c>
      <c r="M128">
        <v>595</v>
      </c>
      <c r="N128">
        <v>473</v>
      </c>
      <c r="O128" s="12">
        <v>0.96144357015770276</v>
      </c>
      <c r="P128" s="3">
        <v>2</v>
      </c>
      <c r="Q128" s="4">
        <v>168</v>
      </c>
      <c r="S128">
        <f t="shared" si="17"/>
        <v>6132</v>
      </c>
      <c r="T128" s="10">
        <f t="shared" si="10"/>
        <v>511</v>
      </c>
      <c r="U128" s="10">
        <f t="shared" si="11"/>
        <v>17.033333333333335</v>
      </c>
      <c r="V128" s="10">
        <f t="shared" si="12"/>
        <v>178.39843048636948</v>
      </c>
      <c r="W128" s="11">
        <f t="shared" si="13"/>
        <v>0.7</v>
      </c>
      <c r="X128" s="11">
        <f t="shared" si="14"/>
        <v>1.7676893004440133</v>
      </c>
      <c r="Y128" s="10">
        <f t="shared" si="15"/>
        <v>263.84324665921122</v>
      </c>
      <c r="Z128" s="10">
        <f t="shared" si="16"/>
        <v>621.54324665921126</v>
      </c>
    </row>
    <row r="129" spans="1:26" x14ac:dyDescent="0.25">
      <c r="A129" s="2" t="s">
        <v>124</v>
      </c>
      <c r="B129">
        <v>27</v>
      </c>
      <c r="C129">
        <v>497</v>
      </c>
      <c r="D129">
        <v>417</v>
      </c>
      <c r="E129">
        <v>628</v>
      </c>
      <c r="F129">
        <v>472</v>
      </c>
      <c r="G129">
        <v>426</v>
      </c>
      <c r="H129">
        <v>456</v>
      </c>
      <c r="I129">
        <v>328</v>
      </c>
      <c r="J129">
        <v>246</v>
      </c>
      <c r="K129">
        <v>633</v>
      </c>
      <c r="L129">
        <v>410</v>
      </c>
      <c r="M129">
        <v>323</v>
      </c>
      <c r="N129">
        <v>611</v>
      </c>
      <c r="O129" s="12">
        <v>0.95185904900641438</v>
      </c>
      <c r="P129" s="3">
        <v>3</v>
      </c>
      <c r="Q129" s="4">
        <v>238</v>
      </c>
      <c r="S129">
        <f t="shared" si="17"/>
        <v>5447</v>
      </c>
      <c r="T129" s="10">
        <f t="shared" si="10"/>
        <v>453.91666666666669</v>
      </c>
      <c r="U129" s="10">
        <f t="shared" si="11"/>
        <v>15.130555555555556</v>
      </c>
      <c r="V129" s="10">
        <f t="shared" si="12"/>
        <v>124.14541205108354</v>
      </c>
      <c r="W129" s="11">
        <f t="shared" si="13"/>
        <v>0.9</v>
      </c>
      <c r="X129" s="11">
        <f t="shared" si="14"/>
        <v>1.6631525553311055</v>
      </c>
      <c r="Y129" s="10">
        <f t="shared" si="15"/>
        <v>195.8772582364561</v>
      </c>
      <c r="Z129" s="10">
        <f t="shared" si="16"/>
        <v>604.40225823645619</v>
      </c>
    </row>
    <row r="130" spans="1:26" x14ac:dyDescent="0.25">
      <c r="A130" s="2" t="s">
        <v>125</v>
      </c>
      <c r="B130">
        <v>20</v>
      </c>
      <c r="C130">
        <v>855</v>
      </c>
      <c r="D130">
        <v>672</v>
      </c>
      <c r="E130">
        <v>615</v>
      </c>
      <c r="F130">
        <v>813</v>
      </c>
      <c r="G130">
        <v>234</v>
      </c>
      <c r="H130">
        <v>649</v>
      </c>
      <c r="I130">
        <v>225</v>
      </c>
      <c r="J130">
        <v>763</v>
      </c>
      <c r="K130">
        <v>728</v>
      </c>
      <c r="L130">
        <v>599</v>
      </c>
      <c r="M130">
        <v>689</v>
      </c>
      <c r="N130">
        <v>699</v>
      </c>
      <c r="O130" s="12">
        <v>0.97784985718262796</v>
      </c>
      <c r="P130" s="3">
        <v>2</v>
      </c>
      <c r="Q130" s="4">
        <v>184</v>
      </c>
      <c r="S130">
        <f t="shared" si="17"/>
        <v>7541</v>
      </c>
      <c r="T130" s="10">
        <f t="shared" si="10"/>
        <v>628.41666666666663</v>
      </c>
      <c r="U130" s="10">
        <f t="shared" si="11"/>
        <v>20.947222222222219</v>
      </c>
      <c r="V130" s="10">
        <f t="shared" si="12"/>
        <v>200.85519810565182</v>
      </c>
      <c r="W130" s="11">
        <f t="shared" si="13"/>
        <v>0.66666666666666663</v>
      </c>
      <c r="X130" s="11">
        <f t="shared" si="14"/>
        <v>2.0112383612425817</v>
      </c>
      <c r="Y130" s="10">
        <f t="shared" si="15"/>
        <v>329.83822910486327</v>
      </c>
      <c r="Z130" s="10">
        <f t="shared" si="16"/>
        <v>748.78267354930767</v>
      </c>
    </row>
    <row r="131" spans="1:26" x14ac:dyDescent="0.25">
      <c r="A131" s="2" t="s">
        <v>126</v>
      </c>
      <c r="B131">
        <v>27</v>
      </c>
      <c r="C131">
        <v>302</v>
      </c>
      <c r="D131">
        <v>257</v>
      </c>
      <c r="E131">
        <v>898</v>
      </c>
      <c r="F131">
        <v>353</v>
      </c>
      <c r="G131">
        <v>631</v>
      </c>
      <c r="H131">
        <v>836</v>
      </c>
      <c r="I131">
        <v>839</v>
      </c>
      <c r="J131">
        <v>586</v>
      </c>
      <c r="K131">
        <v>880</v>
      </c>
      <c r="L131">
        <v>823</v>
      </c>
      <c r="M131">
        <v>666</v>
      </c>
      <c r="N131">
        <v>438</v>
      </c>
      <c r="O131" s="12">
        <v>0.95125658576013139</v>
      </c>
      <c r="P131" s="3">
        <v>1</v>
      </c>
      <c r="Q131" s="4">
        <v>216</v>
      </c>
      <c r="S131">
        <f t="shared" si="17"/>
        <v>7509</v>
      </c>
      <c r="T131" s="10">
        <f t="shared" si="10"/>
        <v>625.75</v>
      </c>
      <c r="U131" s="10">
        <f t="shared" si="11"/>
        <v>20.858333333333334</v>
      </c>
      <c r="V131" s="10">
        <f t="shared" si="12"/>
        <v>237.60399636981927</v>
      </c>
      <c r="W131" s="11">
        <f t="shared" si="13"/>
        <v>0.9</v>
      </c>
      <c r="X131" s="11">
        <f t="shared" si="14"/>
        <v>1.6571614976817968</v>
      </c>
      <c r="Y131" s="10">
        <f t="shared" si="15"/>
        <v>373.54233574014268</v>
      </c>
      <c r="Z131" s="10">
        <f t="shared" si="16"/>
        <v>936.71733574014274</v>
      </c>
    </row>
    <row r="132" spans="1:26" x14ac:dyDescent="0.25">
      <c r="A132" s="2" t="s">
        <v>127</v>
      </c>
      <c r="B132">
        <v>21</v>
      </c>
      <c r="C132">
        <v>513</v>
      </c>
      <c r="D132">
        <v>805</v>
      </c>
      <c r="E132">
        <v>596</v>
      </c>
      <c r="F132">
        <v>770</v>
      </c>
      <c r="G132">
        <v>309</v>
      </c>
      <c r="H132">
        <v>762</v>
      </c>
      <c r="I132">
        <v>524</v>
      </c>
      <c r="J132">
        <v>216</v>
      </c>
      <c r="K132">
        <v>698</v>
      </c>
      <c r="L132">
        <v>370</v>
      </c>
      <c r="M132">
        <v>280</v>
      </c>
      <c r="N132">
        <v>374</v>
      </c>
      <c r="O132" s="12">
        <v>0.95810260389715318</v>
      </c>
      <c r="P132" s="3">
        <v>4</v>
      </c>
      <c r="Q132" s="4">
        <v>155</v>
      </c>
      <c r="S132">
        <f t="shared" si="17"/>
        <v>6217</v>
      </c>
      <c r="T132" s="10">
        <f t="shared" si="10"/>
        <v>518.08333333333337</v>
      </c>
      <c r="U132" s="10">
        <f t="shared" si="11"/>
        <v>17.269444444444446</v>
      </c>
      <c r="V132" s="10">
        <f t="shared" si="12"/>
        <v>208.48433921273244</v>
      </c>
      <c r="W132" s="11">
        <f t="shared" si="13"/>
        <v>0.7</v>
      </c>
      <c r="X132" s="11">
        <f t="shared" si="14"/>
        <v>1.7290799212191399</v>
      </c>
      <c r="Y132" s="10">
        <f t="shared" si="15"/>
        <v>301.60429729181732</v>
      </c>
      <c r="Z132" s="10">
        <f t="shared" si="16"/>
        <v>664.26263062515068</v>
      </c>
    </row>
    <row r="133" spans="1:26" x14ac:dyDescent="0.25">
      <c r="A133" s="2" t="s">
        <v>128</v>
      </c>
      <c r="B133">
        <v>27</v>
      </c>
      <c r="C133">
        <v>340</v>
      </c>
      <c r="D133">
        <v>259</v>
      </c>
      <c r="E133">
        <v>510</v>
      </c>
      <c r="F133">
        <v>259</v>
      </c>
      <c r="G133">
        <v>392</v>
      </c>
      <c r="H133">
        <v>336</v>
      </c>
      <c r="I133">
        <v>524</v>
      </c>
      <c r="J133">
        <v>719</v>
      </c>
      <c r="K133">
        <v>754</v>
      </c>
      <c r="L133">
        <v>591</v>
      </c>
      <c r="M133">
        <v>267</v>
      </c>
      <c r="N133">
        <v>695</v>
      </c>
      <c r="O133" s="12">
        <v>0.95428850228531426</v>
      </c>
      <c r="P133" s="3">
        <v>2</v>
      </c>
      <c r="Q133" s="4">
        <v>189</v>
      </c>
      <c r="S133">
        <f t="shared" ref="S133:S164" si="18">SUM(C133:N133)</f>
        <v>5646</v>
      </c>
      <c r="T133" s="10">
        <f t="shared" si="10"/>
        <v>470.5</v>
      </c>
      <c r="U133" s="10">
        <f t="shared" si="11"/>
        <v>15.683333333333334</v>
      </c>
      <c r="V133" s="10">
        <f t="shared" si="12"/>
        <v>186.74898076878978</v>
      </c>
      <c r="W133" s="11">
        <f t="shared" si="13"/>
        <v>0.9</v>
      </c>
      <c r="X133" s="11">
        <f t="shared" si="14"/>
        <v>1.6879387069087162</v>
      </c>
      <c r="Y133" s="10">
        <f t="shared" si="15"/>
        <v>299.04473957414041</v>
      </c>
      <c r="Z133" s="10">
        <f t="shared" si="16"/>
        <v>722.49473957414034</v>
      </c>
    </row>
    <row r="134" spans="1:26" x14ac:dyDescent="0.25">
      <c r="A134" s="2" t="s">
        <v>129</v>
      </c>
      <c r="B134">
        <v>30</v>
      </c>
      <c r="C134">
        <v>310</v>
      </c>
      <c r="D134">
        <v>412</v>
      </c>
      <c r="E134">
        <v>611</v>
      </c>
      <c r="F134">
        <v>740</v>
      </c>
      <c r="G134">
        <v>519</v>
      </c>
      <c r="H134">
        <v>720</v>
      </c>
      <c r="I134">
        <v>793</v>
      </c>
      <c r="J134">
        <v>737</v>
      </c>
      <c r="K134">
        <v>330</v>
      </c>
      <c r="L134">
        <v>530</v>
      </c>
      <c r="M134">
        <v>345</v>
      </c>
      <c r="N134">
        <v>390</v>
      </c>
      <c r="O134" s="12">
        <v>0.9523797832334564</v>
      </c>
      <c r="P134" s="3">
        <v>2</v>
      </c>
      <c r="Q134" s="4">
        <v>150</v>
      </c>
      <c r="S134">
        <f t="shared" si="18"/>
        <v>6437</v>
      </c>
      <c r="T134" s="10">
        <f t="shared" ref="T134:T197" si="19">AVERAGE(C134:N134)</f>
        <v>536.41666666666663</v>
      </c>
      <c r="U134" s="10">
        <f t="shared" ref="U134:U197" si="20">T134/30</f>
        <v>17.880555555555553</v>
      </c>
      <c r="V134" s="10">
        <f t="shared" ref="V134:V197" si="21">STDEV(C134:N134)</f>
        <v>179.53346526905545</v>
      </c>
      <c r="W134" s="11">
        <f t="shared" ref="W134:W197" si="22">B134/30</f>
        <v>1</v>
      </c>
      <c r="X134" s="11">
        <f t="shared" ref="X134:X197" si="23">NORMSINV(O134)</f>
        <v>1.6683794072899938</v>
      </c>
      <c r="Y134" s="10">
        <f t="shared" ref="Y134:Y197" si="24">X134*V134*SQRT(W134)</f>
        <v>299.52993637430541</v>
      </c>
      <c r="Z134" s="10">
        <f t="shared" ref="Z134:Z197" si="25">U134*B134+Y134</f>
        <v>835.94660304097204</v>
      </c>
    </row>
    <row r="135" spans="1:26" x14ac:dyDescent="0.25">
      <c r="A135" s="2" t="s">
        <v>130</v>
      </c>
      <c r="B135">
        <v>22</v>
      </c>
      <c r="C135">
        <v>378</v>
      </c>
      <c r="D135">
        <v>287</v>
      </c>
      <c r="E135">
        <v>795</v>
      </c>
      <c r="F135">
        <v>316</v>
      </c>
      <c r="G135">
        <v>497</v>
      </c>
      <c r="H135">
        <v>251</v>
      </c>
      <c r="I135">
        <v>483</v>
      </c>
      <c r="J135">
        <v>329</v>
      </c>
      <c r="K135">
        <v>593</v>
      </c>
      <c r="L135">
        <v>795</v>
      </c>
      <c r="M135">
        <v>623</v>
      </c>
      <c r="N135">
        <v>733</v>
      </c>
      <c r="O135" s="12">
        <v>0.96274616914646838</v>
      </c>
      <c r="P135" s="3">
        <v>3</v>
      </c>
      <c r="Q135" s="4">
        <v>201</v>
      </c>
      <c r="S135">
        <f t="shared" si="18"/>
        <v>6080</v>
      </c>
      <c r="T135" s="10">
        <f t="shared" si="19"/>
        <v>506.66666666666669</v>
      </c>
      <c r="U135" s="10">
        <f t="shared" si="20"/>
        <v>16.888888888888889</v>
      </c>
      <c r="V135" s="10">
        <f t="shared" si="21"/>
        <v>199.37006857205077</v>
      </c>
      <c r="W135" s="11">
        <f t="shared" si="22"/>
        <v>0.73333333333333328</v>
      </c>
      <c r="X135" s="11">
        <f t="shared" si="23"/>
        <v>1.783483314600796</v>
      </c>
      <c r="Y135" s="10">
        <f t="shared" si="24"/>
        <v>304.49468891019649</v>
      </c>
      <c r="Z135" s="10">
        <f t="shared" si="25"/>
        <v>676.05024446575203</v>
      </c>
    </row>
    <row r="136" spans="1:26" x14ac:dyDescent="0.25">
      <c r="A136" s="2" t="s">
        <v>131</v>
      </c>
      <c r="B136">
        <v>30</v>
      </c>
      <c r="C136">
        <v>364</v>
      </c>
      <c r="D136">
        <v>523</v>
      </c>
      <c r="E136">
        <v>382</v>
      </c>
      <c r="F136">
        <v>224</v>
      </c>
      <c r="G136">
        <v>548</v>
      </c>
      <c r="H136">
        <v>430</v>
      </c>
      <c r="I136">
        <v>598</v>
      </c>
      <c r="J136">
        <v>667</v>
      </c>
      <c r="K136">
        <v>450</v>
      </c>
      <c r="L136">
        <v>524</v>
      </c>
      <c r="M136">
        <v>724</v>
      </c>
      <c r="N136">
        <v>745</v>
      </c>
      <c r="O136" s="12">
        <v>0.96559089501538375</v>
      </c>
      <c r="P136" s="3">
        <v>4</v>
      </c>
      <c r="Q136" s="4">
        <v>180</v>
      </c>
      <c r="S136">
        <f t="shared" si="18"/>
        <v>6179</v>
      </c>
      <c r="T136" s="10">
        <f t="shared" si="19"/>
        <v>514.91666666666663</v>
      </c>
      <c r="U136" s="10">
        <f t="shared" si="20"/>
        <v>17.163888888888888</v>
      </c>
      <c r="V136" s="10">
        <f t="shared" si="21"/>
        <v>155.04513028225816</v>
      </c>
      <c r="W136" s="11">
        <f t="shared" si="22"/>
        <v>1</v>
      </c>
      <c r="X136" s="11">
        <f t="shared" si="23"/>
        <v>1.8196113632885387</v>
      </c>
      <c r="Y136" s="10">
        <f t="shared" si="24"/>
        <v>282.12188088414888</v>
      </c>
      <c r="Z136" s="10">
        <f t="shared" si="25"/>
        <v>797.03854755081557</v>
      </c>
    </row>
    <row r="137" spans="1:26" x14ac:dyDescent="0.25">
      <c r="A137" s="2" t="s">
        <v>132</v>
      </c>
      <c r="B137">
        <v>25</v>
      </c>
      <c r="C137">
        <v>200</v>
      </c>
      <c r="D137">
        <v>216</v>
      </c>
      <c r="E137">
        <v>892</v>
      </c>
      <c r="F137">
        <v>842</v>
      </c>
      <c r="G137">
        <v>719</v>
      </c>
      <c r="H137">
        <v>378</v>
      </c>
      <c r="I137">
        <v>373</v>
      </c>
      <c r="J137">
        <v>237</v>
      </c>
      <c r="K137">
        <v>781</v>
      </c>
      <c r="L137">
        <v>557</v>
      </c>
      <c r="M137">
        <v>739</v>
      </c>
      <c r="N137">
        <v>522</v>
      </c>
      <c r="O137" s="12">
        <v>0.95809351247025198</v>
      </c>
      <c r="P137" s="3">
        <v>4</v>
      </c>
      <c r="Q137" s="4">
        <v>269</v>
      </c>
      <c r="S137">
        <f t="shared" si="18"/>
        <v>6456</v>
      </c>
      <c r="T137" s="10">
        <f t="shared" si="19"/>
        <v>538</v>
      </c>
      <c r="U137" s="10">
        <f t="shared" si="20"/>
        <v>17.933333333333334</v>
      </c>
      <c r="V137" s="10">
        <f t="shared" si="21"/>
        <v>254.40018582040096</v>
      </c>
      <c r="W137" s="11">
        <f t="shared" si="22"/>
        <v>0.83333333333333337</v>
      </c>
      <c r="X137" s="11">
        <f t="shared" si="23"/>
        <v>1.7289783214508767</v>
      </c>
      <c r="Y137" s="10">
        <f t="shared" si="24"/>
        <v>401.52847479939629</v>
      </c>
      <c r="Z137" s="10">
        <f t="shared" si="25"/>
        <v>849.86180813272961</v>
      </c>
    </row>
    <row r="138" spans="1:26" x14ac:dyDescent="0.25">
      <c r="A138" s="2" t="s">
        <v>133</v>
      </c>
      <c r="B138">
        <v>19</v>
      </c>
      <c r="C138">
        <v>782</v>
      </c>
      <c r="D138">
        <v>758</v>
      </c>
      <c r="E138">
        <v>831</v>
      </c>
      <c r="F138">
        <v>639</v>
      </c>
      <c r="G138">
        <v>561</v>
      </c>
      <c r="H138">
        <v>576</v>
      </c>
      <c r="I138">
        <v>221</v>
      </c>
      <c r="J138">
        <v>671</v>
      </c>
      <c r="K138">
        <v>704</v>
      </c>
      <c r="L138">
        <v>581</v>
      </c>
      <c r="M138">
        <v>561</v>
      </c>
      <c r="N138">
        <v>249</v>
      </c>
      <c r="O138" s="12">
        <v>0.9661122942783269</v>
      </c>
      <c r="P138" s="3">
        <v>1</v>
      </c>
      <c r="Q138" s="4">
        <v>297</v>
      </c>
      <c r="S138">
        <f t="shared" si="18"/>
        <v>7134</v>
      </c>
      <c r="T138" s="10">
        <f t="shared" si="19"/>
        <v>594.5</v>
      </c>
      <c r="U138" s="10">
        <f t="shared" si="20"/>
        <v>19.816666666666666</v>
      </c>
      <c r="V138" s="10">
        <f t="shared" si="21"/>
        <v>190.5220101815965</v>
      </c>
      <c r="W138" s="11">
        <f t="shared" si="22"/>
        <v>0.6333333333333333</v>
      </c>
      <c r="X138" s="11">
        <f t="shared" si="23"/>
        <v>1.8264971414973539</v>
      </c>
      <c r="Y138" s="10">
        <f t="shared" si="24"/>
        <v>276.9365802731329</v>
      </c>
      <c r="Z138" s="10">
        <f t="shared" si="25"/>
        <v>653.45324693979956</v>
      </c>
    </row>
    <row r="139" spans="1:26" x14ac:dyDescent="0.25">
      <c r="A139" s="2" t="s">
        <v>134</v>
      </c>
      <c r="B139">
        <v>30</v>
      </c>
      <c r="C139">
        <v>501</v>
      </c>
      <c r="D139">
        <v>897</v>
      </c>
      <c r="E139">
        <v>605</v>
      </c>
      <c r="F139">
        <v>581</v>
      </c>
      <c r="G139">
        <v>479</v>
      </c>
      <c r="H139">
        <v>708</v>
      </c>
      <c r="I139">
        <v>858</v>
      </c>
      <c r="J139">
        <v>312</v>
      </c>
      <c r="K139">
        <v>784</v>
      </c>
      <c r="L139">
        <v>431</v>
      </c>
      <c r="M139">
        <v>393</v>
      </c>
      <c r="N139">
        <v>885</v>
      </c>
      <c r="O139" s="12">
        <v>0.96225202369979379</v>
      </c>
      <c r="P139" s="3">
        <v>1</v>
      </c>
      <c r="Q139" s="4">
        <v>206</v>
      </c>
      <c r="S139">
        <f t="shared" si="18"/>
        <v>7434</v>
      </c>
      <c r="T139" s="10">
        <f t="shared" si="19"/>
        <v>619.5</v>
      </c>
      <c r="U139" s="10">
        <f t="shared" si="20"/>
        <v>20.65</v>
      </c>
      <c r="V139" s="10">
        <f t="shared" si="21"/>
        <v>203.63447645229431</v>
      </c>
      <c r="W139" s="11">
        <f t="shared" si="22"/>
        <v>1</v>
      </c>
      <c r="X139" s="11">
        <f t="shared" si="23"/>
        <v>1.7774395246817121</v>
      </c>
      <c r="Y139" s="10">
        <f t="shared" si="24"/>
        <v>361.94796703417529</v>
      </c>
      <c r="Z139" s="10">
        <f t="shared" si="25"/>
        <v>981.44796703417524</v>
      </c>
    </row>
    <row r="140" spans="1:26" x14ac:dyDescent="0.25">
      <c r="A140" s="2" t="s">
        <v>135</v>
      </c>
      <c r="B140">
        <v>25</v>
      </c>
      <c r="C140">
        <v>610</v>
      </c>
      <c r="D140">
        <v>618</v>
      </c>
      <c r="E140">
        <v>604</v>
      </c>
      <c r="F140">
        <v>843</v>
      </c>
      <c r="G140">
        <v>792</v>
      </c>
      <c r="H140">
        <v>323</v>
      </c>
      <c r="I140">
        <v>857</v>
      </c>
      <c r="J140">
        <v>616</v>
      </c>
      <c r="K140">
        <v>516</v>
      </c>
      <c r="L140">
        <v>681</v>
      </c>
      <c r="M140">
        <v>745</v>
      </c>
      <c r="N140">
        <v>690</v>
      </c>
      <c r="O140" s="12">
        <v>0.96095968859712155</v>
      </c>
      <c r="P140" s="3">
        <v>1</v>
      </c>
      <c r="Q140" s="4">
        <v>236</v>
      </c>
      <c r="S140">
        <f t="shared" si="18"/>
        <v>7895</v>
      </c>
      <c r="T140" s="10">
        <f t="shared" si="19"/>
        <v>657.91666666666663</v>
      </c>
      <c r="U140" s="10">
        <f t="shared" si="20"/>
        <v>21.930555555555554</v>
      </c>
      <c r="V140" s="10">
        <f t="shared" si="21"/>
        <v>148.28624550530853</v>
      </c>
      <c r="W140" s="11">
        <f t="shared" si="22"/>
        <v>0.83333333333333337</v>
      </c>
      <c r="X140" s="11">
        <f t="shared" si="23"/>
        <v>1.7619329729923463</v>
      </c>
      <c r="Y140" s="10">
        <f t="shared" si="24"/>
        <v>238.50617599821686</v>
      </c>
      <c r="Z140" s="10">
        <f t="shared" si="25"/>
        <v>786.77006488710572</v>
      </c>
    </row>
    <row r="141" spans="1:26" x14ac:dyDescent="0.25">
      <c r="A141" s="2" t="s">
        <v>136</v>
      </c>
      <c r="B141">
        <v>30</v>
      </c>
      <c r="C141">
        <v>710</v>
      </c>
      <c r="D141">
        <v>659</v>
      </c>
      <c r="E141">
        <v>409</v>
      </c>
      <c r="F141">
        <v>466</v>
      </c>
      <c r="G141">
        <v>273</v>
      </c>
      <c r="H141">
        <v>887</v>
      </c>
      <c r="I141">
        <v>320</v>
      </c>
      <c r="J141">
        <v>463</v>
      </c>
      <c r="K141">
        <v>876</v>
      </c>
      <c r="L141">
        <v>892</v>
      </c>
      <c r="M141">
        <v>830</v>
      </c>
      <c r="N141">
        <v>895</v>
      </c>
      <c r="O141" s="12">
        <v>0.97664001460549443</v>
      </c>
      <c r="P141" s="3">
        <v>3</v>
      </c>
      <c r="Q141" s="4">
        <v>208</v>
      </c>
      <c r="S141">
        <f t="shared" si="18"/>
        <v>7680</v>
      </c>
      <c r="T141" s="10">
        <f t="shared" si="19"/>
        <v>640</v>
      </c>
      <c r="U141" s="10">
        <f t="shared" si="20"/>
        <v>21.333333333333332</v>
      </c>
      <c r="V141" s="10">
        <f t="shared" si="21"/>
        <v>240.95454116718969</v>
      </c>
      <c r="W141" s="11">
        <f t="shared" si="22"/>
        <v>1</v>
      </c>
      <c r="X141" s="11">
        <f t="shared" si="23"/>
        <v>1.9888299952095545</v>
      </c>
      <c r="Y141" s="10">
        <f t="shared" si="24"/>
        <v>479.21761895526225</v>
      </c>
      <c r="Z141" s="10">
        <f t="shared" si="25"/>
        <v>1119.2176189552622</v>
      </c>
    </row>
    <row r="142" spans="1:26" x14ac:dyDescent="0.25">
      <c r="A142" s="2" t="s">
        <v>137</v>
      </c>
      <c r="B142">
        <v>30</v>
      </c>
      <c r="C142">
        <v>362</v>
      </c>
      <c r="D142">
        <v>768</v>
      </c>
      <c r="E142">
        <v>799</v>
      </c>
      <c r="F142">
        <v>670</v>
      </c>
      <c r="G142">
        <v>733</v>
      </c>
      <c r="H142">
        <v>681</v>
      </c>
      <c r="I142">
        <v>225</v>
      </c>
      <c r="J142">
        <v>757</v>
      </c>
      <c r="K142">
        <v>783</v>
      </c>
      <c r="L142">
        <v>588</v>
      </c>
      <c r="M142">
        <v>585</v>
      </c>
      <c r="N142">
        <v>486</v>
      </c>
      <c r="O142" s="12">
        <v>0.95397151219817788</v>
      </c>
      <c r="P142" s="3">
        <v>2</v>
      </c>
      <c r="Q142" s="4">
        <v>190</v>
      </c>
      <c r="S142">
        <f t="shared" si="18"/>
        <v>7437</v>
      </c>
      <c r="T142" s="10">
        <f t="shared" si="19"/>
        <v>619.75</v>
      </c>
      <c r="U142" s="10">
        <f t="shared" si="20"/>
        <v>20.658333333333335</v>
      </c>
      <c r="V142" s="10">
        <f t="shared" si="21"/>
        <v>181.1745140615935</v>
      </c>
      <c r="W142" s="11">
        <f t="shared" si="22"/>
        <v>1</v>
      </c>
      <c r="X142" s="11">
        <f t="shared" si="23"/>
        <v>1.6846455603660209</v>
      </c>
      <c r="Y142" s="10">
        <f t="shared" si="24"/>
        <v>305.21484076533471</v>
      </c>
      <c r="Z142" s="10">
        <f t="shared" si="25"/>
        <v>924.96484076533466</v>
      </c>
    </row>
    <row r="143" spans="1:26" x14ac:dyDescent="0.25">
      <c r="A143" s="2" t="s">
        <v>138</v>
      </c>
      <c r="B143">
        <v>27</v>
      </c>
      <c r="C143">
        <v>268</v>
      </c>
      <c r="D143">
        <v>641</v>
      </c>
      <c r="E143">
        <v>363</v>
      </c>
      <c r="F143">
        <v>515</v>
      </c>
      <c r="G143">
        <v>862</v>
      </c>
      <c r="H143">
        <v>494</v>
      </c>
      <c r="I143">
        <v>897</v>
      </c>
      <c r="J143">
        <v>874</v>
      </c>
      <c r="K143">
        <v>637</v>
      </c>
      <c r="L143">
        <v>439</v>
      </c>
      <c r="M143">
        <v>784</v>
      </c>
      <c r="N143">
        <v>718</v>
      </c>
      <c r="O143" s="12">
        <v>0.95683574571526309</v>
      </c>
      <c r="P143" s="3">
        <v>2</v>
      </c>
      <c r="Q143" s="4">
        <v>247</v>
      </c>
      <c r="S143">
        <f t="shared" si="18"/>
        <v>7492</v>
      </c>
      <c r="T143" s="10">
        <f t="shared" si="19"/>
        <v>624.33333333333337</v>
      </c>
      <c r="U143" s="10">
        <f t="shared" si="20"/>
        <v>20.811111111111114</v>
      </c>
      <c r="V143" s="10">
        <f t="shared" si="21"/>
        <v>210.28739353272681</v>
      </c>
      <c r="W143" s="11">
        <f t="shared" si="22"/>
        <v>0.9</v>
      </c>
      <c r="X143" s="11">
        <f t="shared" si="23"/>
        <v>1.7150911940392659</v>
      </c>
      <c r="Y143" s="10">
        <f t="shared" si="24"/>
        <v>342.15406958879652</v>
      </c>
      <c r="Z143" s="10">
        <f t="shared" si="25"/>
        <v>904.05406958879666</v>
      </c>
    </row>
    <row r="144" spans="1:26" x14ac:dyDescent="0.25">
      <c r="A144" s="2" t="s">
        <v>139</v>
      </c>
      <c r="B144">
        <v>24</v>
      </c>
      <c r="C144">
        <v>679</v>
      </c>
      <c r="D144">
        <v>485</v>
      </c>
      <c r="E144">
        <v>670</v>
      </c>
      <c r="F144">
        <v>547</v>
      </c>
      <c r="G144">
        <v>684</v>
      </c>
      <c r="H144">
        <v>765</v>
      </c>
      <c r="I144">
        <v>632</v>
      </c>
      <c r="J144">
        <v>227</v>
      </c>
      <c r="K144">
        <v>866</v>
      </c>
      <c r="L144">
        <v>821</v>
      </c>
      <c r="M144">
        <v>597</v>
      </c>
      <c r="N144">
        <v>681</v>
      </c>
      <c r="O144" s="12">
        <v>0.96740926557243523</v>
      </c>
      <c r="P144" s="3">
        <v>1</v>
      </c>
      <c r="Q144" s="4">
        <v>152</v>
      </c>
      <c r="S144">
        <f t="shared" si="18"/>
        <v>7654</v>
      </c>
      <c r="T144" s="10">
        <f t="shared" si="19"/>
        <v>637.83333333333337</v>
      </c>
      <c r="U144" s="10">
        <f t="shared" si="20"/>
        <v>21.261111111111113</v>
      </c>
      <c r="V144" s="10">
        <f t="shared" si="21"/>
        <v>168.03670234009402</v>
      </c>
      <c r="W144" s="11">
        <f t="shared" si="22"/>
        <v>0.8</v>
      </c>
      <c r="X144" s="11">
        <f t="shared" si="23"/>
        <v>1.8440114682948805</v>
      </c>
      <c r="Y144" s="10">
        <f t="shared" si="24"/>
        <v>277.14864604076257</v>
      </c>
      <c r="Z144" s="10">
        <f t="shared" si="25"/>
        <v>787.41531270742928</v>
      </c>
    </row>
    <row r="145" spans="1:26" x14ac:dyDescent="0.25">
      <c r="A145" s="2" t="s">
        <v>140</v>
      </c>
      <c r="B145">
        <v>25</v>
      </c>
      <c r="C145">
        <v>613</v>
      </c>
      <c r="D145">
        <v>580</v>
      </c>
      <c r="E145">
        <v>589</v>
      </c>
      <c r="F145">
        <v>375</v>
      </c>
      <c r="G145">
        <v>536</v>
      </c>
      <c r="H145">
        <v>441</v>
      </c>
      <c r="I145">
        <v>230</v>
      </c>
      <c r="J145">
        <v>584</v>
      </c>
      <c r="K145">
        <v>585</v>
      </c>
      <c r="L145">
        <v>609</v>
      </c>
      <c r="M145">
        <v>612</v>
      </c>
      <c r="N145">
        <v>751</v>
      </c>
      <c r="O145" s="12">
        <v>0.97315108715604448</v>
      </c>
      <c r="P145" s="3">
        <v>2</v>
      </c>
      <c r="Q145" s="4">
        <v>244</v>
      </c>
      <c r="S145">
        <f t="shared" si="18"/>
        <v>6505</v>
      </c>
      <c r="T145" s="10">
        <f t="shared" si="19"/>
        <v>542.08333333333337</v>
      </c>
      <c r="U145" s="10">
        <f t="shared" si="20"/>
        <v>18.069444444444446</v>
      </c>
      <c r="V145" s="10">
        <f t="shared" si="21"/>
        <v>135.12516644230487</v>
      </c>
      <c r="W145" s="11">
        <f t="shared" si="22"/>
        <v>0.83333333333333337</v>
      </c>
      <c r="X145" s="11">
        <f t="shared" si="23"/>
        <v>1.9292661826708599</v>
      </c>
      <c r="Y145" s="10">
        <f t="shared" si="24"/>
        <v>237.9785262381231</v>
      </c>
      <c r="Z145" s="10">
        <f t="shared" si="25"/>
        <v>689.71463734923418</v>
      </c>
    </row>
    <row r="146" spans="1:26" x14ac:dyDescent="0.25">
      <c r="A146" s="2" t="s">
        <v>141</v>
      </c>
      <c r="B146">
        <v>19</v>
      </c>
      <c r="C146">
        <v>294</v>
      </c>
      <c r="D146">
        <v>262</v>
      </c>
      <c r="E146">
        <v>593</v>
      </c>
      <c r="F146">
        <v>752</v>
      </c>
      <c r="G146">
        <v>352</v>
      </c>
      <c r="H146">
        <v>646</v>
      </c>
      <c r="I146">
        <v>350</v>
      </c>
      <c r="J146">
        <v>794</v>
      </c>
      <c r="K146">
        <v>472</v>
      </c>
      <c r="L146">
        <v>699</v>
      </c>
      <c r="M146">
        <v>473</v>
      </c>
      <c r="N146">
        <v>431</v>
      </c>
      <c r="O146" s="12">
        <v>0.95891577101572023</v>
      </c>
      <c r="P146" s="3">
        <v>4</v>
      </c>
      <c r="Q146" s="4">
        <v>292</v>
      </c>
      <c r="S146">
        <f t="shared" si="18"/>
        <v>6118</v>
      </c>
      <c r="T146" s="10">
        <f t="shared" si="19"/>
        <v>509.83333333333331</v>
      </c>
      <c r="U146" s="10">
        <f t="shared" si="20"/>
        <v>16.994444444444444</v>
      </c>
      <c r="V146" s="10">
        <f t="shared" si="21"/>
        <v>182.93159841036126</v>
      </c>
      <c r="W146" s="11">
        <f t="shared" si="22"/>
        <v>0.6333333333333333</v>
      </c>
      <c r="X146" s="11">
        <f t="shared" si="23"/>
        <v>1.7382404297185166</v>
      </c>
      <c r="Y146" s="10">
        <f t="shared" si="24"/>
        <v>253.05489888412083</v>
      </c>
      <c r="Z146" s="10">
        <f t="shared" si="25"/>
        <v>575.94934332856531</v>
      </c>
    </row>
    <row r="147" spans="1:26" x14ac:dyDescent="0.25">
      <c r="A147" s="2" t="s">
        <v>142</v>
      </c>
      <c r="B147">
        <v>22</v>
      </c>
      <c r="C147">
        <v>306</v>
      </c>
      <c r="D147">
        <v>265</v>
      </c>
      <c r="E147">
        <v>528</v>
      </c>
      <c r="F147">
        <v>745</v>
      </c>
      <c r="G147">
        <v>518</v>
      </c>
      <c r="H147">
        <v>688</v>
      </c>
      <c r="I147">
        <v>875</v>
      </c>
      <c r="J147">
        <v>380</v>
      </c>
      <c r="K147">
        <v>647</v>
      </c>
      <c r="L147">
        <v>683</v>
      </c>
      <c r="M147">
        <v>866</v>
      </c>
      <c r="N147">
        <v>396</v>
      </c>
      <c r="O147" s="12">
        <v>0.9672001643343372</v>
      </c>
      <c r="P147" s="3">
        <v>4</v>
      </c>
      <c r="Q147" s="4">
        <v>294</v>
      </c>
      <c r="S147">
        <f t="shared" si="18"/>
        <v>6897</v>
      </c>
      <c r="T147" s="10">
        <f t="shared" si="19"/>
        <v>574.75</v>
      </c>
      <c r="U147" s="10">
        <f t="shared" si="20"/>
        <v>19.158333333333335</v>
      </c>
      <c r="V147" s="10">
        <f t="shared" si="21"/>
        <v>208.27915052989471</v>
      </c>
      <c r="W147" s="11">
        <f t="shared" si="22"/>
        <v>0.73333333333333328</v>
      </c>
      <c r="X147" s="11">
        <f t="shared" si="23"/>
        <v>1.8411493778803683</v>
      </c>
      <c r="Y147" s="10">
        <f t="shared" si="24"/>
        <v>328.38668251638558</v>
      </c>
      <c r="Z147" s="10">
        <f t="shared" si="25"/>
        <v>749.87001584971892</v>
      </c>
    </row>
    <row r="148" spans="1:26" x14ac:dyDescent="0.25">
      <c r="A148" s="2" t="s">
        <v>143</v>
      </c>
      <c r="B148">
        <v>26</v>
      </c>
      <c r="C148">
        <v>433</v>
      </c>
      <c r="D148">
        <v>497</v>
      </c>
      <c r="E148">
        <v>881</v>
      </c>
      <c r="F148">
        <v>292</v>
      </c>
      <c r="G148">
        <v>327</v>
      </c>
      <c r="H148">
        <v>458</v>
      </c>
      <c r="I148">
        <v>267</v>
      </c>
      <c r="J148">
        <v>545</v>
      </c>
      <c r="K148">
        <v>247</v>
      </c>
      <c r="L148">
        <v>244</v>
      </c>
      <c r="M148">
        <v>678</v>
      </c>
      <c r="N148">
        <v>690</v>
      </c>
      <c r="O148" s="12">
        <v>0.95979478563776555</v>
      </c>
      <c r="P148" s="3">
        <v>4</v>
      </c>
      <c r="Q148" s="4">
        <v>278</v>
      </c>
      <c r="S148">
        <f t="shared" si="18"/>
        <v>5559</v>
      </c>
      <c r="T148" s="10">
        <f t="shared" si="19"/>
        <v>463.25</v>
      </c>
      <c r="U148" s="10">
        <f t="shared" si="20"/>
        <v>15.441666666666666</v>
      </c>
      <c r="V148" s="10">
        <f t="shared" si="21"/>
        <v>204.95060380491685</v>
      </c>
      <c r="W148" s="11">
        <f t="shared" si="22"/>
        <v>0.8666666666666667</v>
      </c>
      <c r="X148" s="11">
        <f t="shared" si="23"/>
        <v>1.7483096178109534</v>
      </c>
      <c r="Y148" s="10">
        <f t="shared" si="24"/>
        <v>333.57507740540478</v>
      </c>
      <c r="Z148" s="10">
        <f t="shared" si="25"/>
        <v>735.05841073873808</v>
      </c>
    </row>
    <row r="149" spans="1:26" x14ac:dyDescent="0.25">
      <c r="A149" s="2" t="s">
        <v>144</v>
      </c>
      <c r="B149">
        <v>22</v>
      </c>
      <c r="C149">
        <v>799</v>
      </c>
      <c r="D149">
        <v>310</v>
      </c>
      <c r="E149">
        <v>445</v>
      </c>
      <c r="F149">
        <v>740</v>
      </c>
      <c r="G149">
        <v>454</v>
      </c>
      <c r="H149">
        <v>338</v>
      </c>
      <c r="I149">
        <v>847</v>
      </c>
      <c r="J149">
        <v>578</v>
      </c>
      <c r="K149">
        <v>887</v>
      </c>
      <c r="L149">
        <v>625</v>
      </c>
      <c r="M149">
        <v>284</v>
      </c>
      <c r="N149">
        <v>674</v>
      </c>
      <c r="O149" s="12">
        <v>0.9529241412370496</v>
      </c>
      <c r="P149" s="3">
        <v>1</v>
      </c>
      <c r="Q149" s="4">
        <v>157</v>
      </c>
      <c r="S149">
        <f t="shared" si="18"/>
        <v>6981</v>
      </c>
      <c r="T149" s="10">
        <f t="shared" si="19"/>
        <v>581.75</v>
      </c>
      <c r="U149" s="10">
        <f t="shared" si="20"/>
        <v>19.391666666666666</v>
      </c>
      <c r="V149" s="10">
        <f t="shared" si="21"/>
        <v>213.86237078168671</v>
      </c>
      <c r="W149" s="11">
        <f t="shared" si="22"/>
        <v>0.73333333333333328</v>
      </c>
      <c r="X149" s="11">
        <f t="shared" si="23"/>
        <v>1.6738925556124089</v>
      </c>
      <c r="Y149" s="10">
        <f t="shared" si="24"/>
        <v>306.55800975439888</v>
      </c>
      <c r="Z149" s="10">
        <f t="shared" si="25"/>
        <v>733.17467642106556</v>
      </c>
    </row>
    <row r="150" spans="1:26" x14ac:dyDescent="0.25">
      <c r="A150" s="2" t="s">
        <v>145</v>
      </c>
      <c r="B150">
        <v>25</v>
      </c>
      <c r="C150">
        <v>399</v>
      </c>
      <c r="D150">
        <v>733</v>
      </c>
      <c r="E150">
        <v>500</v>
      </c>
      <c r="F150">
        <v>305</v>
      </c>
      <c r="G150">
        <v>816</v>
      </c>
      <c r="H150">
        <v>601</v>
      </c>
      <c r="I150">
        <v>320</v>
      </c>
      <c r="J150">
        <v>410</v>
      </c>
      <c r="K150">
        <v>753</v>
      </c>
      <c r="L150">
        <v>612</v>
      </c>
      <c r="M150">
        <v>365</v>
      </c>
      <c r="N150">
        <v>298</v>
      </c>
      <c r="O150" s="12">
        <v>0.95332820711497168</v>
      </c>
      <c r="P150" s="3">
        <v>1</v>
      </c>
      <c r="Q150" s="4">
        <v>280</v>
      </c>
      <c r="S150">
        <f t="shared" si="18"/>
        <v>6112</v>
      </c>
      <c r="T150" s="10">
        <f t="shared" si="19"/>
        <v>509.33333333333331</v>
      </c>
      <c r="U150" s="10">
        <f t="shared" si="20"/>
        <v>16.977777777777778</v>
      </c>
      <c r="V150" s="10">
        <f t="shared" si="21"/>
        <v>187.71561340269886</v>
      </c>
      <c r="W150" s="11">
        <f t="shared" si="22"/>
        <v>0.83333333333333337</v>
      </c>
      <c r="X150" s="11">
        <f t="shared" si="23"/>
        <v>1.6780179966991493</v>
      </c>
      <c r="Y150" s="10">
        <f t="shared" si="24"/>
        <v>287.54537606220259</v>
      </c>
      <c r="Z150" s="10">
        <f t="shared" si="25"/>
        <v>711.98982050664699</v>
      </c>
    </row>
    <row r="151" spans="1:26" x14ac:dyDescent="0.25">
      <c r="A151" s="2" t="s">
        <v>146</v>
      </c>
      <c r="B151">
        <v>28</v>
      </c>
      <c r="C151">
        <v>578</v>
      </c>
      <c r="D151">
        <v>375</v>
      </c>
      <c r="E151">
        <v>710</v>
      </c>
      <c r="F151">
        <v>555</v>
      </c>
      <c r="G151">
        <v>664</v>
      </c>
      <c r="H151">
        <v>378</v>
      </c>
      <c r="I151">
        <v>315</v>
      </c>
      <c r="J151">
        <v>204</v>
      </c>
      <c r="K151">
        <v>722</v>
      </c>
      <c r="L151">
        <v>642</v>
      </c>
      <c r="M151">
        <v>305</v>
      </c>
      <c r="N151">
        <v>356</v>
      </c>
      <c r="O151" s="12">
        <v>0.95073425077172569</v>
      </c>
      <c r="P151" s="3">
        <v>1</v>
      </c>
      <c r="Q151" s="4">
        <v>168</v>
      </c>
      <c r="S151">
        <f t="shared" si="18"/>
        <v>5804</v>
      </c>
      <c r="T151" s="10">
        <f t="shared" si="19"/>
        <v>483.66666666666669</v>
      </c>
      <c r="U151" s="10">
        <f t="shared" si="20"/>
        <v>16.122222222222224</v>
      </c>
      <c r="V151" s="10">
        <f t="shared" si="21"/>
        <v>180.26815043319783</v>
      </c>
      <c r="W151" s="11">
        <f t="shared" si="22"/>
        <v>0.93333333333333335</v>
      </c>
      <c r="X151" s="11">
        <f t="shared" si="23"/>
        <v>1.6520149734854821</v>
      </c>
      <c r="Y151" s="10">
        <f t="shared" si="24"/>
        <v>287.70762403308532</v>
      </c>
      <c r="Z151" s="10">
        <f t="shared" si="25"/>
        <v>739.1298462553076</v>
      </c>
    </row>
    <row r="152" spans="1:26" x14ac:dyDescent="0.25">
      <c r="A152" s="2" t="s">
        <v>147</v>
      </c>
      <c r="B152">
        <v>26</v>
      </c>
      <c r="C152">
        <v>285</v>
      </c>
      <c r="D152">
        <v>712</v>
      </c>
      <c r="E152">
        <v>348</v>
      </c>
      <c r="F152">
        <v>507</v>
      </c>
      <c r="G152">
        <v>342</v>
      </c>
      <c r="H152">
        <v>761</v>
      </c>
      <c r="I152">
        <v>400</v>
      </c>
      <c r="J152">
        <v>384</v>
      </c>
      <c r="K152">
        <v>293</v>
      </c>
      <c r="L152">
        <v>570</v>
      </c>
      <c r="M152">
        <v>406</v>
      </c>
      <c r="N152">
        <v>332</v>
      </c>
      <c r="O152" s="12">
        <v>0.96044039858234986</v>
      </c>
      <c r="P152" s="3">
        <v>3</v>
      </c>
      <c r="Q152" s="4">
        <v>247</v>
      </c>
      <c r="S152">
        <f t="shared" si="18"/>
        <v>5340</v>
      </c>
      <c r="T152" s="10">
        <f t="shared" si="19"/>
        <v>445</v>
      </c>
      <c r="U152" s="10">
        <f t="shared" si="20"/>
        <v>14.833333333333334</v>
      </c>
      <c r="V152" s="10">
        <f t="shared" si="21"/>
        <v>159.36578850385217</v>
      </c>
      <c r="W152" s="11">
        <f t="shared" si="22"/>
        <v>0.8666666666666667</v>
      </c>
      <c r="X152" s="11">
        <f t="shared" si="23"/>
        <v>1.7558196805890012</v>
      </c>
      <c r="Y152" s="10">
        <f t="shared" si="24"/>
        <v>260.49599769681635</v>
      </c>
      <c r="Z152" s="10">
        <f t="shared" si="25"/>
        <v>646.16266436348303</v>
      </c>
    </row>
    <row r="153" spans="1:26" x14ac:dyDescent="0.25">
      <c r="A153" s="2" t="s">
        <v>148</v>
      </c>
      <c r="B153">
        <v>29</v>
      </c>
      <c r="C153">
        <v>445</v>
      </c>
      <c r="D153">
        <v>328</v>
      </c>
      <c r="E153">
        <v>517</v>
      </c>
      <c r="F153">
        <v>525</v>
      </c>
      <c r="G153">
        <v>712</v>
      </c>
      <c r="H153">
        <v>860</v>
      </c>
      <c r="I153">
        <v>232</v>
      </c>
      <c r="J153">
        <v>252</v>
      </c>
      <c r="K153">
        <v>319</v>
      </c>
      <c r="L153">
        <v>570</v>
      </c>
      <c r="M153">
        <v>335</v>
      </c>
      <c r="N153">
        <v>493</v>
      </c>
      <c r="O153" s="12">
        <v>0.96195917726645508</v>
      </c>
      <c r="P153" s="3">
        <v>2</v>
      </c>
      <c r="Q153" s="4">
        <v>292</v>
      </c>
      <c r="S153">
        <f t="shared" si="18"/>
        <v>5588</v>
      </c>
      <c r="T153" s="10">
        <f t="shared" si="19"/>
        <v>465.66666666666669</v>
      </c>
      <c r="U153" s="10">
        <f t="shared" si="20"/>
        <v>15.522222222222222</v>
      </c>
      <c r="V153" s="10">
        <f t="shared" si="21"/>
        <v>188.82042134036112</v>
      </c>
      <c r="W153" s="11">
        <f t="shared" si="22"/>
        <v>0.96666666666666667</v>
      </c>
      <c r="X153" s="11">
        <f t="shared" si="23"/>
        <v>1.7738881969253375</v>
      </c>
      <c r="Y153" s="10">
        <f t="shared" si="24"/>
        <v>329.31656594163275</v>
      </c>
      <c r="Z153" s="10">
        <f t="shared" si="25"/>
        <v>779.46101038607719</v>
      </c>
    </row>
    <row r="154" spans="1:26" x14ac:dyDescent="0.25">
      <c r="A154" s="2" t="s">
        <v>149</v>
      </c>
      <c r="B154">
        <v>24</v>
      </c>
      <c r="C154">
        <v>720</v>
      </c>
      <c r="D154">
        <v>558</v>
      </c>
      <c r="E154">
        <v>582</v>
      </c>
      <c r="F154">
        <v>533</v>
      </c>
      <c r="G154">
        <v>533</v>
      </c>
      <c r="H154">
        <v>233</v>
      </c>
      <c r="I154">
        <v>497</v>
      </c>
      <c r="J154">
        <v>258</v>
      </c>
      <c r="K154">
        <v>401</v>
      </c>
      <c r="L154">
        <v>778</v>
      </c>
      <c r="M154">
        <v>399</v>
      </c>
      <c r="N154">
        <v>448</v>
      </c>
      <c r="O154" s="12">
        <v>0.97896468944124693</v>
      </c>
      <c r="P154" s="3">
        <v>1</v>
      </c>
      <c r="Q154" s="4">
        <v>168</v>
      </c>
      <c r="S154">
        <f t="shared" si="18"/>
        <v>5940</v>
      </c>
      <c r="T154" s="10">
        <f t="shared" si="19"/>
        <v>495</v>
      </c>
      <c r="U154" s="10">
        <f t="shared" si="20"/>
        <v>16.5</v>
      </c>
      <c r="V154" s="10">
        <f t="shared" si="21"/>
        <v>162.42984499609221</v>
      </c>
      <c r="W154" s="11">
        <f t="shared" si="22"/>
        <v>0.8</v>
      </c>
      <c r="X154" s="11">
        <f t="shared" si="23"/>
        <v>2.0328208969040795</v>
      </c>
      <c r="Y154" s="10">
        <f t="shared" si="24"/>
        <v>295.3316147017519</v>
      </c>
      <c r="Z154" s="10">
        <f t="shared" si="25"/>
        <v>691.33161470175196</v>
      </c>
    </row>
    <row r="155" spans="1:26" x14ac:dyDescent="0.25">
      <c r="A155" s="2" t="s">
        <v>150</v>
      </c>
      <c r="B155">
        <v>22</v>
      </c>
      <c r="C155">
        <v>288</v>
      </c>
      <c r="D155">
        <v>275</v>
      </c>
      <c r="E155">
        <v>384</v>
      </c>
      <c r="F155">
        <v>789</v>
      </c>
      <c r="G155">
        <v>813</v>
      </c>
      <c r="H155">
        <v>526</v>
      </c>
      <c r="I155">
        <v>492</v>
      </c>
      <c r="J155">
        <v>691</v>
      </c>
      <c r="K155">
        <v>896</v>
      </c>
      <c r="L155">
        <v>428</v>
      </c>
      <c r="M155">
        <v>567</v>
      </c>
      <c r="N155">
        <v>371</v>
      </c>
      <c r="O155" s="12">
        <v>0.96370928617253748</v>
      </c>
      <c r="P155" s="3">
        <v>2</v>
      </c>
      <c r="Q155" s="4">
        <v>152</v>
      </c>
      <c r="S155">
        <f t="shared" si="18"/>
        <v>6520</v>
      </c>
      <c r="T155" s="10">
        <f t="shared" si="19"/>
        <v>543.33333333333337</v>
      </c>
      <c r="U155" s="10">
        <f t="shared" si="20"/>
        <v>18.111111111111111</v>
      </c>
      <c r="V155" s="10">
        <f t="shared" si="21"/>
        <v>210.69854956282632</v>
      </c>
      <c r="W155" s="11">
        <f t="shared" si="22"/>
        <v>0.73333333333333328</v>
      </c>
      <c r="X155" s="11">
        <f t="shared" si="23"/>
        <v>1.795453797841885</v>
      </c>
      <c r="Y155" s="10">
        <f t="shared" si="24"/>
        <v>323.95634688993107</v>
      </c>
      <c r="Z155" s="10">
        <f t="shared" si="25"/>
        <v>722.40079133437553</v>
      </c>
    </row>
    <row r="156" spans="1:26" x14ac:dyDescent="0.25">
      <c r="A156" s="2" t="s">
        <v>151</v>
      </c>
      <c r="B156">
        <v>30</v>
      </c>
      <c r="C156">
        <v>462</v>
      </c>
      <c r="D156">
        <v>228</v>
      </c>
      <c r="E156">
        <v>744</v>
      </c>
      <c r="F156">
        <v>785</v>
      </c>
      <c r="G156">
        <v>728</v>
      </c>
      <c r="H156">
        <v>296</v>
      </c>
      <c r="I156">
        <v>713</v>
      </c>
      <c r="J156">
        <v>558</v>
      </c>
      <c r="K156">
        <v>461</v>
      </c>
      <c r="L156">
        <v>788</v>
      </c>
      <c r="M156">
        <v>897</v>
      </c>
      <c r="N156">
        <v>686</v>
      </c>
      <c r="O156" s="12">
        <v>0.95070725865570183</v>
      </c>
      <c r="P156" s="3">
        <v>4</v>
      </c>
      <c r="Q156" s="4">
        <v>183</v>
      </c>
      <c r="S156">
        <f t="shared" si="18"/>
        <v>7346</v>
      </c>
      <c r="T156" s="10">
        <f t="shared" si="19"/>
        <v>612.16666666666663</v>
      </c>
      <c r="U156" s="10">
        <f t="shared" si="20"/>
        <v>20.405555555555555</v>
      </c>
      <c r="V156" s="10">
        <f t="shared" si="21"/>
        <v>209.80849854237576</v>
      </c>
      <c r="W156" s="11">
        <f t="shared" si="22"/>
        <v>1</v>
      </c>
      <c r="X156" s="11">
        <f t="shared" si="23"/>
        <v>1.6517502088138507</v>
      </c>
      <c r="Y156" s="10">
        <f t="shared" si="24"/>
        <v>346.55123127828966</v>
      </c>
      <c r="Z156" s="10">
        <f t="shared" si="25"/>
        <v>958.71789794495635</v>
      </c>
    </row>
    <row r="157" spans="1:26" x14ac:dyDescent="0.25">
      <c r="A157" s="2" t="s">
        <v>152</v>
      </c>
      <c r="B157">
        <v>21</v>
      </c>
      <c r="C157">
        <v>300</v>
      </c>
      <c r="D157">
        <v>493</v>
      </c>
      <c r="E157">
        <v>605</v>
      </c>
      <c r="F157">
        <v>294</v>
      </c>
      <c r="G157">
        <v>375</v>
      </c>
      <c r="H157">
        <v>546</v>
      </c>
      <c r="I157">
        <v>648</v>
      </c>
      <c r="J157">
        <v>206</v>
      </c>
      <c r="K157">
        <v>316</v>
      </c>
      <c r="L157">
        <v>815</v>
      </c>
      <c r="M157">
        <v>339</v>
      </c>
      <c r="N157">
        <v>400</v>
      </c>
      <c r="O157" s="12">
        <v>0.96047797323034267</v>
      </c>
      <c r="P157" s="3">
        <v>1</v>
      </c>
      <c r="Q157" s="4">
        <v>165</v>
      </c>
      <c r="S157">
        <f t="shared" si="18"/>
        <v>5337</v>
      </c>
      <c r="T157" s="10">
        <f t="shared" si="19"/>
        <v>444.75</v>
      </c>
      <c r="U157" s="10">
        <f t="shared" si="20"/>
        <v>14.824999999999999</v>
      </c>
      <c r="V157" s="10">
        <f t="shared" si="21"/>
        <v>178.87584571936532</v>
      </c>
      <c r="W157" s="11">
        <f t="shared" si="22"/>
        <v>0.7</v>
      </c>
      <c r="X157" s="11">
        <f t="shared" si="23"/>
        <v>1.7562598263256466</v>
      </c>
      <c r="Y157" s="10">
        <f t="shared" si="24"/>
        <v>262.83880697257814</v>
      </c>
      <c r="Z157" s="10">
        <f t="shared" si="25"/>
        <v>574.16380697257819</v>
      </c>
    </row>
    <row r="158" spans="1:26" x14ac:dyDescent="0.25">
      <c r="A158" s="2" t="s">
        <v>153</v>
      </c>
      <c r="B158">
        <v>27</v>
      </c>
      <c r="C158">
        <v>728</v>
      </c>
      <c r="D158">
        <v>505</v>
      </c>
      <c r="E158">
        <v>885</v>
      </c>
      <c r="F158">
        <v>464</v>
      </c>
      <c r="G158">
        <v>703</v>
      </c>
      <c r="H158">
        <v>391</v>
      </c>
      <c r="I158">
        <v>318</v>
      </c>
      <c r="J158">
        <v>360</v>
      </c>
      <c r="K158">
        <v>624</v>
      </c>
      <c r="L158">
        <v>453</v>
      </c>
      <c r="M158">
        <v>506</v>
      </c>
      <c r="N158">
        <v>431</v>
      </c>
      <c r="O158" s="12">
        <v>0.96039642615832777</v>
      </c>
      <c r="P158" s="3">
        <v>3</v>
      </c>
      <c r="Q158" s="4">
        <v>200</v>
      </c>
      <c r="S158">
        <f t="shared" si="18"/>
        <v>6368</v>
      </c>
      <c r="T158" s="10">
        <f t="shared" si="19"/>
        <v>530.66666666666663</v>
      </c>
      <c r="U158" s="10">
        <f t="shared" si="20"/>
        <v>17.688888888888886</v>
      </c>
      <c r="V158" s="10">
        <f t="shared" si="21"/>
        <v>170.14450186577145</v>
      </c>
      <c r="W158" s="11">
        <f t="shared" si="22"/>
        <v>0.9</v>
      </c>
      <c r="X158" s="11">
        <f t="shared" si="23"/>
        <v>1.7553050235130832</v>
      </c>
      <c r="Y158" s="10">
        <f t="shared" si="24"/>
        <v>283.32948362815569</v>
      </c>
      <c r="Z158" s="10">
        <f t="shared" si="25"/>
        <v>760.92948362815559</v>
      </c>
    </row>
    <row r="159" spans="1:26" x14ac:dyDescent="0.25">
      <c r="A159" s="2" t="s">
        <v>154</v>
      </c>
      <c r="B159">
        <v>23</v>
      </c>
      <c r="C159">
        <v>300</v>
      </c>
      <c r="D159">
        <v>320</v>
      </c>
      <c r="E159">
        <v>254</v>
      </c>
      <c r="F159">
        <v>352</v>
      </c>
      <c r="G159">
        <v>333</v>
      </c>
      <c r="H159">
        <v>218</v>
      </c>
      <c r="I159">
        <v>460</v>
      </c>
      <c r="J159">
        <v>854</v>
      </c>
      <c r="K159">
        <v>388</v>
      </c>
      <c r="L159">
        <v>253</v>
      </c>
      <c r="M159">
        <v>297</v>
      </c>
      <c r="N159">
        <v>529</v>
      </c>
      <c r="O159" s="12">
        <v>0.96706282092912632</v>
      </c>
      <c r="P159" s="3">
        <v>3</v>
      </c>
      <c r="Q159" s="4">
        <v>277</v>
      </c>
      <c r="S159">
        <f t="shared" si="18"/>
        <v>4558</v>
      </c>
      <c r="T159" s="10">
        <f t="shared" si="19"/>
        <v>379.83333333333331</v>
      </c>
      <c r="U159" s="10">
        <f t="shared" si="20"/>
        <v>12.66111111111111</v>
      </c>
      <c r="V159" s="10">
        <f t="shared" si="21"/>
        <v>173.5908634657593</v>
      </c>
      <c r="W159" s="11">
        <f t="shared" si="22"/>
        <v>0.76666666666666672</v>
      </c>
      <c r="X159" s="11">
        <f t="shared" si="23"/>
        <v>1.8392776533880031</v>
      </c>
      <c r="Y159" s="10">
        <f t="shared" si="24"/>
        <v>279.5615555939109</v>
      </c>
      <c r="Z159" s="10">
        <f t="shared" si="25"/>
        <v>570.76711114946647</v>
      </c>
    </row>
    <row r="160" spans="1:26" x14ac:dyDescent="0.25">
      <c r="A160" s="2" t="s">
        <v>155</v>
      </c>
      <c r="B160">
        <v>26</v>
      </c>
      <c r="C160">
        <v>813</v>
      </c>
      <c r="D160">
        <v>847</v>
      </c>
      <c r="E160">
        <v>594</v>
      </c>
      <c r="F160">
        <v>695</v>
      </c>
      <c r="G160">
        <v>810</v>
      </c>
      <c r="H160">
        <v>482</v>
      </c>
      <c r="I160">
        <v>680</v>
      </c>
      <c r="J160">
        <v>580</v>
      </c>
      <c r="K160">
        <v>406</v>
      </c>
      <c r="L160">
        <v>493</v>
      </c>
      <c r="M160">
        <v>522</v>
      </c>
      <c r="N160">
        <v>785</v>
      </c>
      <c r="O160" s="12">
        <v>0.97996331027054295</v>
      </c>
      <c r="P160" s="3">
        <v>3</v>
      </c>
      <c r="Q160" s="4">
        <v>201</v>
      </c>
      <c r="S160">
        <f t="shared" si="18"/>
        <v>7707</v>
      </c>
      <c r="T160" s="10">
        <f t="shared" si="19"/>
        <v>642.25</v>
      </c>
      <c r="U160" s="10">
        <f t="shared" si="20"/>
        <v>21.408333333333335</v>
      </c>
      <c r="V160" s="10">
        <f t="shared" si="21"/>
        <v>150.2229403858872</v>
      </c>
      <c r="W160" s="11">
        <f t="shared" si="22"/>
        <v>0.8666666666666667</v>
      </c>
      <c r="X160" s="11">
        <f t="shared" si="23"/>
        <v>2.0529917312734876</v>
      </c>
      <c r="Y160" s="10">
        <f t="shared" si="24"/>
        <v>287.11078407497143</v>
      </c>
      <c r="Z160" s="10">
        <f t="shared" si="25"/>
        <v>843.72745074163811</v>
      </c>
    </row>
    <row r="161" spans="1:26" x14ac:dyDescent="0.25">
      <c r="A161" s="2" t="s">
        <v>156</v>
      </c>
      <c r="B161">
        <v>19</v>
      </c>
      <c r="C161">
        <v>418</v>
      </c>
      <c r="D161">
        <v>853</v>
      </c>
      <c r="E161">
        <v>776</v>
      </c>
      <c r="F161">
        <v>788</v>
      </c>
      <c r="G161">
        <v>673</v>
      </c>
      <c r="H161">
        <v>709</v>
      </c>
      <c r="I161">
        <v>865</v>
      </c>
      <c r="J161">
        <v>372</v>
      </c>
      <c r="K161">
        <v>619</v>
      </c>
      <c r="L161">
        <v>594</v>
      </c>
      <c r="M161">
        <v>254</v>
      </c>
      <c r="N161">
        <v>776</v>
      </c>
      <c r="O161" s="12">
        <v>0.96164803061480619</v>
      </c>
      <c r="P161" s="3">
        <v>2</v>
      </c>
      <c r="Q161" s="4">
        <v>234</v>
      </c>
      <c r="S161">
        <f t="shared" si="18"/>
        <v>7697</v>
      </c>
      <c r="T161" s="10">
        <f t="shared" si="19"/>
        <v>641.41666666666663</v>
      </c>
      <c r="U161" s="10">
        <f t="shared" si="20"/>
        <v>21.380555555555553</v>
      </c>
      <c r="V161" s="10">
        <f t="shared" si="21"/>
        <v>198.48904633543771</v>
      </c>
      <c r="W161" s="11">
        <f t="shared" si="22"/>
        <v>0.6333333333333333</v>
      </c>
      <c r="X161" s="11">
        <f t="shared" si="23"/>
        <v>1.770139296003147</v>
      </c>
      <c r="Y161" s="10">
        <f t="shared" si="24"/>
        <v>279.61480426238148</v>
      </c>
      <c r="Z161" s="10">
        <f t="shared" si="25"/>
        <v>685.84535981793692</v>
      </c>
    </row>
    <row r="162" spans="1:26" x14ac:dyDescent="0.25">
      <c r="A162" s="2" t="s">
        <v>157</v>
      </c>
      <c r="B162">
        <v>30</v>
      </c>
      <c r="C162">
        <v>210</v>
      </c>
      <c r="D162">
        <v>218</v>
      </c>
      <c r="E162">
        <v>563</v>
      </c>
      <c r="F162">
        <v>553</v>
      </c>
      <c r="G162">
        <v>482</v>
      </c>
      <c r="H162">
        <v>323</v>
      </c>
      <c r="I162">
        <v>372</v>
      </c>
      <c r="J162">
        <v>310</v>
      </c>
      <c r="K162">
        <v>442</v>
      </c>
      <c r="L162">
        <v>710</v>
      </c>
      <c r="M162">
        <v>245</v>
      </c>
      <c r="N162">
        <v>255</v>
      </c>
      <c r="O162" s="12">
        <v>0.96670492020183008</v>
      </c>
      <c r="P162" s="3">
        <v>3</v>
      </c>
      <c r="Q162" s="4">
        <v>290</v>
      </c>
      <c r="S162">
        <f t="shared" si="18"/>
        <v>4683</v>
      </c>
      <c r="T162" s="10">
        <f t="shared" si="19"/>
        <v>390.25</v>
      </c>
      <c r="U162" s="10">
        <f t="shared" si="20"/>
        <v>13.008333333333333</v>
      </c>
      <c r="V162" s="10">
        <f t="shared" si="21"/>
        <v>160.25895238076973</v>
      </c>
      <c r="W162" s="11">
        <f t="shared" si="22"/>
        <v>1</v>
      </c>
      <c r="X162" s="11">
        <f t="shared" si="23"/>
        <v>1.8344302035646509</v>
      </c>
      <c r="Y162" s="10">
        <f t="shared" si="24"/>
        <v>293.98386263891314</v>
      </c>
      <c r="Z162" s="10">
        <f t="shared" si="25"/>
        <v>684.23386263891314</v>
      </c>
    </row>
    <row r="163" spans="1:26" x14ac:dyDescent="0.25">
      <c r="A163" s="2" t="s">
        <v>158</v>
      </c>
      <c r="B163">
        <v>24</v>
      </c>
      <c r="C163">
        <v>567</v>
      </c>
      <c r="D163">
        <v>701</v>
      </c>
      <c r="E163">
        <v>640</v>
      </c>
      <c r="F163">
        <v>624</v>
      </c>
      <c r="G163">
        <v>332</v>
      </c>
      <c r="H163">
        <v>254</v>
      </c>
      <c r="I163">
        <v>598</v>
      </c>
      <c r="J163">
        <v>334</v>
      </c>
      <c r="K163">
        <v>485</v>
      </c>
      <c r="L163">
        <v>416</v>
      </c>
      <c r="M163">
        <v>609</v>
      </c>
      <c r="N163">
        <v>528</v>
      </c>
      <c r="O163" s="12">
        <v>0.97254120600499694</v>
      </c>
      <c r="P163" s="3">
        <v>4</v>
      </c>
      <c r="Q163" s="4">
        <v>279</v>
      </c>
      <c r="S163">
        <f t="shared" si="18"/>
        <v>6088</v>
      </c>
      <c r="T163" s="10">
        <f t="shared" si="19"/>
        <v>507.33333333333331</v>
      </c>
      <c r="U163" s="10">
        <f t="shared" si="20"/>
        <v>16.911111111111111</v>
      </c>
      <c r="V163" s="10">
        <f t="shared" si="21"/>
        <v>143.04057487512432</v>
      </c>
      <c r="W163" s="11">
        <f t="shared" si="22"/>
        <v>0.8</v>
      </c>
      <c r="X163" s="11">
        <f t="shared" si="23"/>
        <v>1.9195276696334824</v>
      </c>
      <c r="Y163" s="10">
        <f t="shared" si="24"/>
        <v>245.58317914832432</v>
      </c>
      <c r="Z163" s="10">
        <f t="shared" si="25"/>
        <v>651.44984581499102</v>
      </c>
    </row>
    <row r="164" spans="1:26" x14ac:dyDescent="0.25">
      <c r="A164" s="2" t="s">
        <v>159</v>
      </c>
      <c r="B164">
        <v>23</v>
      </c>
      <c r="C164">
        <v>202</v>
      </c>
      <c r="D164">
        <v>687</v>
      </c>
      <c r="E164">
        <v>503</v>
      </c>
      <c r="F164">
        <v>795</v>
      </c>
      <c r="G164">
        <v>817</v>
      </c>
      <c r="H164">
        <v>811</v>
      </c>
      <c r="I164">
        <v>538</v>
      </c>
      <c r="J164">
        <v>715</v>
      </c>
      <c r="K164">
        <v>347</v>
      </c>
      <c r="L164">
        <v>271</v>
      </c>
      <c r="M164">
        <v>813</v>
      </c>
      <c r="N164">
        <v>329</v>
      </c>
      <c r="O164" s="12">
        <v>0.95438420676091684</v>
      </c>
      <c r="P164" s="3">
        <v>4</v>
      </c>
      <c r="Q164" s="4">
        <v>292</v>
      </c>
      <c r="S164">
        <f t="shared" si="18"/>
        <v>6828</v>
      </c>
      <c r="T164" s="10">
        <f t="shared" si="19"/>
        <v>569</v>
      </c>
      <c r="U164" s="10">
        <f t="shared" si="20"/>
        <v>18.966666666666665</v>
      </c>
      <c r="V164" s="10">
        <f t="shared" si="21"/>
        <v>233.86359660747078</v>
      </c>
      <c r="W164" s="11">
        <f t="shared" si="22"/>
        <v>0.76666666666666672</v>
      </c>
      <c r="X164" s="11">
        <f t="shared" si="23"/>
        <v>1.6889365682686925</v>
      </c>
      <c r="Y164" s="10">
        <f t="shared" si="24"/>
        <v>345.84321045314613</v>
      </c>
      <c r="Z164" s="10">
        <f t="shared" si="25"/>
        <v>782.07654378647942</v>
      </c>
    </row>
    <row r="165" spans="1:26" x14ac:dyDescent="0.25">
      <c r="A165" s="2" t="s">
        <v>160</v>
      </c>
      <c r="B165">
        <v>24</v>
      </c>
      <c r="C165">
        <v>553</v>
      </c>
      <c r="D165">
        <v>609</v>
      </c>
      <c r="E165">
        <v>723</v>
      </c>
      <c r="F165">
        <v>777</v>
      </c>
      <c r="G165">
        <v>225</v>
      </c>
      <c r="H165">
        <v>672</v>
      </c>
      <c r="I165">
        <v>303</v>
      </c>
      <c r="J165">
        <v>420</v>
      </c>
      <c r="K165">
        <v>727</v>
      </c>
      <c r="L165">
        <v>701</v>
      </c>
      <c r="M165">
        <v>880</v>
      </c>
      <c r="N165">
        <v>871</v>
      </c>
      <c r="O165" s="12">
        <v>0.97853290142552296</v>
      </c>
      <c r="P165" s="3">
        <v>3</v>
      </c>
      <c r="Q165" s="4">
        <v>199</v>
      </c>
      <c r="S165">
        <f t="shared" ref="S165:S196" si="26">SUM(C165:N165)</f>
        <v>7461</v>
      </c>
      <c r="T165" s="10">
        <f t="shared" si="19"/>
        <v>621.75</v>
      </c>
      <c r="U165" s="10">
        <f t="shared" si="20"/>
        <v>20.725000000000001</v>
      </c>
      <c r="V165" s="10">
        <f t="shared" si="21"/>
        <v>210.55343739773045</v>
      </c>
      <c r="W165" s="11">
        <f t="shared" si="22"/>
        <v>0.8</v>
      </c>
      <c r="X165" s="11">
        <f t="shared" si="23"/>
        <v>2.0243495651957493</v>
      </c>
      <c r="Y165" s="10">
        <f t="shared" si="24"/>
        <v>381.23506417112594</v>
      </c>
      <c r="Z165" s="10">
        <f t="shared" si="25"/>
        <v>878.63506417112603</v>
      </c>
    </row>
    <row r="166" spans="1:26" x14ac:dyDescent="0.25">
      <c r="A166" s="2" t="s">
        <v>161</v>
      </c>
      <c r="B166">
        <v>26</v>
      </c>
      <c r="C166">
        <v>244</v>
      </c>
      <c r="D166">
        <v>627</v>
      </c>
      <c r="E166">
        <v>319</v>
      </c>
      <c r="F166">
        <v>657</v>
      </c>
      <c r="G166">
        <v>843</v>
      </c>
      <c r="H166">
        <v>805</v>
      </c>
      <c r="I166">
        <v>280</v>
      </c>
      <c r="J166">
        <v>473</v>
      </c>
      <c r="K166">
        <v>511</v>
      </c>
      <c r="L166">
        <v>455</v>
      </c>
      <c r="M166">
        <v>534</v>
      </c>
      <c r="N166">
        <v>697</v>
      </c>
      <c r="O166" s="12">
        <v>0.95705955547349775</v>
      </c>
      <c r="P166" s="3">
        <v>4</v>
      </c>
      <c r="Q166" s="4">
        <v>160</v>
      </c>
      <c r="S166">
        <f t="shared" si="26"/>
        <v>6445</v>
      </c>
      <c r="T166" s="10">
        <f t="shared" si="19"/>
        <v>537.08333333333337</v>
      </c>
      <c r="U166" s="10">
        <f t="shared" si="20"/>
        <v>17.902777777777779</v>
      </c>
      <c r="V166" s="10">
        <f t="shared" si="21"/>
        <v>196.44266261932432</v>
      </c>
      <c r="W166" s="11">
        <f t="shared" si="22"/>
        <v>0.8666666666666667</v>
      </c>
      <c r="X166" s="11">
        <f t="shared" si="23"/>
        <v>1.717538155899385</v>
      </c>
      <c r="Y166" s="10">
        <f t="shared" si="24"/>
        <v>314.10022863322581</v>
      </c>
      <c r="Z166" s="10">
        <f t="shared" si="25"/>
        <v>779.5724508554481</v>
      </c>
    </row>
    <row r="167" spans="1:26" x14ac:dyDescent="0.25">
      <c r="A167" s="2" t="s">
        <v>162</v>
      </c>
      <c r="B167">
        <v>22</v>
      </c>
      <c r="C167">
        <v>657</v>
      </c>
      <c r="D167">
        <v>226</v>
      </c>
      <c r="E167">
        <v>654</v>
      </c>
      <c r="F167">
        <v>665</v>
      </c>
      <c r="G167">
        <v>247</v>
      </c>
      <c r="H167">
        <v>705</v>
      </c>
      <c r="I167">
        <v>594</v>
      </c>
      <c r="J167">
        <v>536</v>
      </c>
      <c r="K167">
        <v>289</v>
      </c>
      <c r="L167">
        <v>245</v>
      </c>
      <c r="M167">
        <v>420</v>
      </c>
      <c r="N167">
        <v>492</v>
      </c>
      <c r="O167" s="12">
        <v>0.96043745260377833</v>
      </c>
      <c r="P167" s="3">
        <v>4</v>
      </c>
      <c r="Q167" s="4">
        <v>265</v>
      </c>
      <c r="S167">
        <f t="shared" si="26"/>
        <v>5730</v>
      </c>
      <c r="T167" s="10">
        <f t="shared" si="19"/>
        <v>477.5</v>
      </c>
      <c r="U167" s="10">
        <f t="shared" si="20"/>
        <v>15.916666666666666</v>
      </c>
      <c r="V167" s="10">
        <f t="shared" si="21"/>
        <v>185.07173056559841</v>
      </c>
      <c r="W167" s="11">
        <f t="shared" si="22"/>
        <v>0.73333333333333328</v>
      </c>
      <c r="X167" s="11">
        <f t="shared" si="23"/>
        <v>1.7557851860621381</v>
      </c>
      <c r="Y167" s="10">
        <f t="shared" si="24"/>
        <v>278.26730344161837</v>
      </c>
      <c r="Z167" s="10">
        <f t="shared" si="25"/>
        <v>628.43397010828494</v>
      </c>
    </row>
    <row r="168" spans="1:26" x14ac:dyDescent="0.25">
      <c r="A168" s="2" t="s">
        <v>163</v>
      </c>
      <c r="B168">
        <v>22</v>
      </c>
      <c r="C168">
        <v>644</v>
      </c>
      <c r="D168">
        <v>337</v>
      </c>
      <c r="E168">
        <v>432</v>
      </c>
      <c r="F168">
        <v>873</v>
      </c>
      <c r="G168">
        <v>383</v>
      </c>
      <c r="H168">
        <v>324</v>
      </c>
      <c r="I168">
        <v>697</v>
      </c>
      <c r="J168">
        <v>763</v>
      </c>
      <c r="K168">
        <v>813</v>
      </c>
      <c r="L168">
        <v>407</v>
      </c>
      <c r="M168">
        <v>775</v>
      </c>
      <c r="N168">
        <v>759</v>
      </c>
      <c r="O168" s="12">
        <v>0.96298146582248922</v>
      </c>
      <c r="P168" s="3">
        <v>4</v>
      </c>
      <c r="Q168" s="4">
        <v>280</v>
      </c>
      <c r="S168">
        <f t="shared" si="26"/>
        <v>7207</v>
      </c>
      <c r="T168" s="10">
        <f t="shared" si="19"/>
        <v>600.58333333333337</v>
      </c>
      <c r="U168" s="10">
        <f t="shared" si="20"/>
        <v>20.019444444444446</v>
      </c>
      <c r="V168" s="10">
        <f t="shared" si="21"/>
        <v>207.06189603082169</v>
      </c>
      <c r="W168" s="11">
        <f t="shared" si="22"/>
        <v>0.73333333333333328</v>
      </c>
      <c r="X168" s="11">
        <f t="shared" si="23"/>
        <v>1.7863842230211329</v>
      </c>
      <c r="Y168" s="10">
        <f t="shared" si="24"/>
        <v>316.75667388064926</v>
      </c>
      <c r="Z168" s="10">
        <f t="shared" si="25"/>
        <v>757.18445165842707</v>
      </c>
    </row>
    <row r="169" spans="1:26" x14ac:dyDescent="0.25">
      <c r="A169" s="2" t="s">
        <v>164</v>
      </c>
      <c r="B169">
        <v>19</v>
      </c>
      <c r="C169">
        <v>744</v>
      </c>
      <c r="D169">
        <v>726</v>
      </c>
      <c r="E169">
        <v>588</v>
      </c>
      <c r="F169">
        <v>577</v>
      </c>
      <c r="G169">
        <v>477</v>
      </c>
      <c r="H169">
        <v>203</v>
      </c>
      <c r="I169">
        <v>761</v>
      </c>
      <c r="J169">
        <v>330</v>
      </c>
      <c r="K169">
        <v>359</v>
      </c>
      <c r="L169">
        <v>608</v>
      </c>
      <c r="M169">
        <v>594</v>
      </c>
      <c r="N169">
        <v>740</v>
      </c>
      <c r="O169" s="12">
        <v>0.95805028171492601</v>
      </c>
      <c r="P169" s="3">
        <v>4</v>
      </c>
      <c r="Q169" s="4">
        <v>237</v>
      </c>
      <c r="S169">
        <f t="shared" si="26"/>
        <v>6707</v>
      </c>
      <c r="T169" s="10">
        <f t="shared" si="19"/>
        <v>558.91666666666663</v>
      </c>
      <c r="U169" s="10">
        <f t="shared" si="20"/>
        <v>18.630555555555553</v>
      </c>
      <c r="V169" s="10">
        <f t="shared" si="21"/>
        <v>182.50053964220751</v>
      </c>
      <c r="W169" s="11">
        <f t="shared" si="22"/>
        <v>0.6333333333333333</v>
      </c>
      <c r="X169" s="11">
        <f t="shared" si="23"/>
        <v>1.7284954471890506</v>
      </c>
      <c r="Y169" s="10">
        <f t="shared" si="24"/>
        <v>251.04326006146593</v>
      </c>
      <c r="Z169" s="10">
        <f t="shared" si="25"/>
        <v>605.02381561702146</v>
      </c>
    </row>
    <row r="170" spans="1:26" x14ac:dyDescent="0.25">
      <c r="A170" s="2" t="s">
        <v>165</v>
      </c>
      <c r="B170">
        <v>22</v>
      </c>
      <c r="C170">
        <v>799</v>
      </c>
      <c r="D170">
        <v>851</v>
      </c>
      <c r="E170">
        <v>413</v>
      </c>
      <c r="F170">
        <v>246</v>
      </c>
      <c r="G170">
        <v>862</v>
      </c>
      <c r="H170">
        <v>591</v>
      </c>
      <c r="I170">
        <v>462</v>
      </c>
      <c r="J170">
        <v>427</v>
      </c>
      <c r="K170">
        <v>620</v>
      </c>
      <c r="L170">
        <v>777</v>
      </c>
      <c r="M170">
        <v>477</v>
      </c>
      <c r="N170">
        <v>695</v>
      </c>
      <c r="O170" s="12">
        <v>0.97268649910829819</v>
      </c>
      <c r="P170" s="3">
        <v>4</v>
      </c>
      <c r="Q170" s="4">
        <v>180</v>
      </c>
      <c r="S170">
        <f t="shared" si="26"/>
        <v>7220</v>
      </c>
      <c r="T170" s="10">
        <f t="shared" si="19"/>
        <v>601.66666666666663</v>
      </c>
      <c r="U170" s="10">
        <f t="shared" si="20"/>
        <v>20.055555555555554</v>
      </c>
      <c r="V170" s="10">
        <f t="shared" si="21"/>
        <v>199.18804880785095</v>
      </c>
      <c r="W170" s="11">
        <f t="shared" si="22"/>
        <v>0.73333333333333328</v>
      </c>
      <c r="X170" s="11">
        <f t="shared" si="23"/>
        <v>1.9218311945089126</v>
      </c>
      <c r="Y170" s="10">
        <f t="shared" si="24"/>
        <v>327.81530717389313</v>
      </c>
      <c r="Z170" s="10">
        <f t="shared" si="25"/>
        <v>769.03752939611536</v>
      </c>
    </row>
    <row r="171" spans="1:26" x14ac:dyDescent="0.25">
      <c r="A171" s="2" t="s">
        <v>166</v>
      </c>
      <c r="B171">
        <v>20</v>
      </c>
      <c r="C171">
        <v>656</v>
      </c>
      <c r="D171">
        <v>448</v>
      </c>
      <c r="E171">
        <v>569</v>
      </c>
      <c r="F171">
        <v>794</v>
      </c>
      <c r="G171">
        <v>496</v>
      </c>
      <c r="H171">
        <v>444</v>
      </c>
      <c r="I171">
        <v>576</v>
      </c>
      <c r="J171">
        <v>320</v>
      </c>
      <c r="K171">
        <v>578</v>
      </c>
      <c r="L171">
        <v>548</v>
      </c>
      <c r="M171">
        <v>363</v>
      </c>
      <c r="N171">
        <v>812</v>
      </c>
      <c r="O171" s="12">
        <v>0.97565840245044966</v>
      </c>
      <c r="P171" s="3">
        <v>1</v>
      </c>
      <c r="Q171" s="4">
        <v>244</v>
      </c>
      <c r="S171">
        <f t="shared" si="26"/>
        <v>6604</v>
      </c>
      <c r="T171" s="10">
        <f t="shared" si="19"/>
        <v>550.33333333333337</v>
      </c>
      <c r="U171" s="10">
        <f t="shared" si="20"/>
        <v>18.344444444444445</v>
      </c>
      <c r="V171" s="10">
        <f t="shared" si="21"/>
        <v>151.85659104044259</v>
      </c>
      <c r="W171" s="11">
        <f t="shared" si="22"/>
        <v>0.66666666666666663</v>
      </c>
      <c r="X171" s="11">
        <f t="shared" si="23"/>
        <v>1.971355781461811</v>
      </c>
      <c r="Y171" s="10">
        <f t="shared" si="24"/>
        <v>244.42916699909381</v>
      </c>
      <c r="Z171" s="10">
        <f t="shared" si="25"/>
        <v>611.31805588798272</v>
      </c>
    </row>
    <row r="172" spans="1:26" x14ac:dyDescent="0.25">
      <c r="A172" s="2" t="s">
        <v>167</v>
      </c>
      <c r="B172">
        <v>28</v>
      </c>
      <c r="C172">
        <v>539</v>
      </c>
      <c r="D172">
        <v>831</v>
      </c>
      <c r="E172">
        <v>549</v>
      </c>
      <c r="F172">
        <v>696</v>
      </c>
      <c r="G172">
        <v>216</v>
      </c>
      <c r="H172">
        <v>532</v>
      </c>
      <c r="I172">
        <v>669</v>
      </c>
      <c r="J172">
        <v>290</v>
      </c>
      <c r="K172">
        <v>442</v>
      </c>
      <c r="L172">
        <v>557</v>
      </c>
      <c r="M172">
        <v>873</v>
      </c>
      <c r="N172">
        <v>443</v>
      </c>
      <c r="O172" s="12">
        <v>0.97575287345600314</v>
      </c>
      <c r="P172" s="3">
        <v>3</v>
      </c>
      <c r="Q172" s="4">
        <v>243</v>
      </c>
      <c r="S172">
        <f t="shared" si="26"/>
        <v>6637</v>
      </c>
      <c r="T172" s="10">
        <f t="shared" si="19"/>
        <v>553.08333333333337</v>
      </c>
      <c r="U172" s="10">
        <f t="shared" si="20"/>
        <v>18.436111111111114</v>
      </c>
      <c r="V172" s="10">
        <f t="shared" si="21"/>
        <v>195.73101130857822</v>
      </c>
      <c r="W172" s="11">
        <f t="shared" si="22"/>
        <v>0.93333333333333335</v>
      </c>
      <c r="X172" s="11">
        <f t="shared" si="23"/>
        <v>1.9730114916610892</v>
      </c>
      <c r="Y172" s="10">
        <f t="shared" si="24"/>
        <v>373.08487515718355</v>
      </c>
      <c r="Z172" s="10">
        <f t="shared" si="25"/>
        <v>889.29598626829477</v>
      </c>
    </row>
    <row r="173" spans="1:26" x14ac:dyDescent="0.25">
      <c r="A173" s="2" t="s">
        <v>168</v>
      </c>
      <c r="B173">
        <v>26</v>
      </c>
      <c r="C173">
        <v>477</v>
      </c>
      <c r="D173">
        <v>573</v>
      </c>
      <c r="E173">
        <v>821</v>
      </c>
      <c r="F173">
        <v>507</v>
      </c>
      <c r="G173">
        <v>318</v>
      </c>
      <c r="H173">
        <v>893</v>
      </c>
      <c r="I173">
        <v>676</v>
      </c>
      <c r="J173">
        <v>497</v>
      </c>
      <c r="K173">
        <v>762</v>
      </c>
      <c r="L173">
        <v>814</v>
      </c>
      <c r="M173">
        <v>388</v>
      </c>
      <c r="N173">
        <v>344</v>
      </c>
      <c r="O173" s="12">
        <v>0.96897651492348824</v>
      </c>
      <c r="P173" s="3">
        <v>3</v>
      </c>
      <c r="Q173" s="4">
        <v>209</v>
      </c>
      <c r="S173">
        <f t="shared" si="26"/>
        <v>7070</v>
      </c>
      <c r="T173" s="10">
        <f t="shared" si="19"/>
        <v>589.16666666666663</v>
      </c>
      <c r="U173" s="10">
        <f t="shared" si="20"/>
        <v>19.638888888888889</v>
      </c>
      <c r="V173" s="10">
        <f t="shared" si="21"/>
        <v>199.13852343319084</v>
      </c>
      <c r="W173" s="11">
        <f t="shared" si="22"/>
        <v>0.8666666666666667</v>
      </c>
      <c r="X173" s="11">
        <f t="shared" si="23"/>
        <v>1.8659599419413222</v>
      </c>
      <c r="Y173" s="10">
        <f t="shared" si="24"/>
        <v>345.92635073351477</v>
      </c>
      <c r="Z173" s="10">
        <f t="shared" si="25"/>
        <v>856.53746184462591</v>
      </c>
    </row>
    <row r="174" spans="1:26" x14ac:dyDescent="0.25">
      <c r="A174" s="2" t="s">
        <v>169</v>
      </c>
      <c r="B174">
        <v>28</v>
      </c>
      <c r="C174">
        <v>585</v>
      </c>
      <c r="D174">
        <v>813</v>
      </c>
      <c r="E174">
        <v>830</v>
      </c>
      <c r="F174">
        <v>598</v>
      </c>
      <c r="G174">
        <v>440</v>
      </c>
      <c r="H174">
        <v>685</v>
      </c>
      <c r="I174">
        <v>228</v>
      </c>
      <c r="J174">
        <v>553</v>
      </c>
      <c r="K174">
        <v>280</v>
      </c>
      <c r="L174">
        <v>753</v>
      </c>
      <c r="M174">
        <v>485</v>
      </c>
      <c r="N174">
        <v>360</v>
      </c>
      <c r="O174" s="12">
        <v>0.97868240494041103</v>
      </c>
      <c r="P174" s="3">
        <v>4</v>
      </c>
      <c r="Q174" s="4">
        <v>207</v>
      </c>
      <c r="S174">
        <f t="shared" si="26"/>
        <v>6610</v>
      </c>
      <c r="T174" s="10">
        <f t="shared" si="19"/>
        <v>550.83333333333337</v>
      </c>
      <c r="U174" s="10">
        <f t="shared" si="20"/>
        <v>18.361111111111111</v>
      </c>
      <c r="V174" s="10">
        <f t="shared" si="21"/>
        <v>199.89580619245947</v>
      </c>
      <c r="W174" s="11">
        <f t="shared" si="22"/>
        <v>0.93333333333333335</v>
      </c>
      <c r="X174" s="11">
        <f t="shared" si="23"/>
        <v>2.0272662595555362</v>
      </c>
      <c r="Y174" s="10">
        <f t="shared" si="24"/>
        <v>391.50098888848493</v>
      </c>
      <c r="Z174" s="10">
        <f t="shared" si="25"/>
        <v>905.61209999959601</v>
      </c>
    </row>
    <row r="175" spans="1:26" x14ac:dyDescent="0.25">
      <c r="A175" s="2" t="s">
        <v>170</v>
      </c>
      <c r="B175">
        <v>20</v>
      </c>
      <c r="C175">
        <v>754</v>
      </c>
      <c r="D175">
        <v>321</v>
      </c>
      <c r="E175">
        <v>574</v>
      </c>
      <c r="F175">
        <v>386</v>
      </c>
      <c r="G175">
        <v>343</v>
      </c>
      <c r="H175">
        <v>735</v>
      </c>
      <c r="I175">
        <v>711</v>
      </c>
      <c r="J175">
        <v>640</v>
      </c>
      <c r="K175">
        <v>740</v>
      </c>
      <c r="L175">
        <v>490</v>
      </c>
      <c r="M175">
        <v>701</v>
      </c>
      <c r="N175">
        <v>384</v>
      </c>
      <c r="O175" s="12">
        <v>0.97858963775888919</v>
      </c>
      <c r="P175" s="3">
        <v>4</v>
      </c>
      <c r="Q175" s="4">
        <v>238</v>
      </c>
      <c r="S175">
        <f t="shared" si="26"/>
        <v>6779</v>
      </c>
      <c r="T175" s="10">
        <f t="shared" si="19"/>
        <v>564.91666666666663</v>
      </c>
      <c r="U175" s="10">
        <f t="shared" si="20"/>
        <v>18.830555555555556</v>
      </c>
      <c r="V175" s="10">
        <f t="shared" si="21"/>
        <v>170.56348236111828</v>
      </c>
      <c r="W175" s="11">
        <f t="shared" si="22"/>
        <v>0.66666666666666663</v>
      </c>
      <c r="X175" s="11">
        <f t="shared" si="23"/>
        <v>2.0254544178038572</v>
      </c>
      <c r="Y175" s="10">
        <f t="shared" si="24"/>
        <v>282.07389713076026</v>
      </c>
      <c r="Z175" s="10">
        <f t="shared" si="25"/>
        <v>658.6850082418714</v>
      </c>
    </row>
    <row r="176" spans="1:26" x14ac:dyDescent="0.25">
      <c r="A176" s="2" t="s">
        <v>171</v>
      </c>
      <c r="B176">
        <v>27</v>
      </c>
      <c r="C176">
        <v>287</v>
      </c>
      <c r="D176">
        <v>880</v>
      </c>
      <c r="E176">
        <v>676</v>
      </c>
      <c r="F176">
        <v>201</v>
      </c>
      <c r="G176">
        <v>416</v>
      </c>
      <c r="H176">
        <v>372</v>
      </c>
      <c r="I176">
        <v>617</v>
      </c>
      <c r="J176">
        <v>454</v>
      </c>
      <c r="K176">
        <v>825</v>
      </c>
      <c r="L176">
        <v>623</v>
      </c>
      <c r="M176">
        <v>625</v>
      </c>
      <c r="N176">
        <v>791</v>
      </c>
      <c r="O176" s="12">
        <v>0.97965052554228105</v>
      </c>
      <c r="P176" s="3">
        <v>4</v>
      </c>
      <c r="Q176" s="4">
        <v>274</v>
      </c>
      <c r="S176">
        <f t="shared" si="26"/>
        <v>6767</v>
      </c>
      <c r="T176" s="10">
        <f t="shared" si="19"/>
        <v>563.91666666666663</v>
      </c>
      <c r="U176" s="10">
        <f t="shared" si="20"/>
        <v>18.797222222222221</v>
      </c>
      <c r="V176" s="10">
        <f t="shared" si="21"/>
        <v>217.721030150275</v>
      </c>
      <c r="W176" s="11">
        <f t="shared" si="22"/>
        <v>0.9</v>
      </c>
      <c r="X176" s="11">
        <f t="shared" si="23"/>
        <v>2.0465839819465987</v>
      </c>
      <c r="Y176" s="10">
        <f t="shared" si="24"/>
        <v>422.718452384165</v>
      </c>
      <c r="Z176" s="10">
        <f t="shared" si="25"/>
        <v>930.24345238416504</v>
      </c>
    </row>
    <row r="177" spans="1:26" x14ac:dyDescent="0.25">
      <c r="A177" s="2" t="s">
        <v>172</v>
      </c>
      <c r="B177">
        <v>30</v>
      </c>
      <c r="C177">
        <v>517</v>
      </c>
      <c r="D177">
        <v>574</v>
      </c>
      <c r="E177">
        <v>372</v>
      </c>
      <c r="F177">
        <v>579</v>
      </c>
      <c r="G177">
        <v>667</v>
      </c>
      <c r="H177">
        <v>502</v>
      </c>
      <c r="I177">
        <v>548</v>
      </c>
      <c r="J177">
        <v>217</v>
      </c>
      <c r="K177">
        <v>527</v>
      </c>
      <c r="L177">
        <v>515</v>
      </c>
      <c r="M177">
        <v>350</v>
      </c>
      <c r="N177">
        <v>335</v>
      </c>
      <c r="O177" s="12">
        <v>0.95541298587772172</v>
      </c>
      <c r="P177" s="3">
        <v>3</v>
      </c>
      <c r="Q177" s="4">
        <v>203</v>
      </c>
      <c r="S177">
        <f t="shared" si="26"/>
        <v>5703</v>
      </c>
      <c r="T177" s="10">
        <f t="shared" si="19"/>
        <v>475.25</v>
      </c>
      <c r="U177" s="10">
        <f t="shared" si="20"/>
        <v>15.841666666666667</v>
      </c>
      <c r="V177" s="10">
        <f t="shared" si="21"/>
        <v>128.63063752112444</v>
      </c>
      <c r="W177" s="11">
        <f t="shared" si="22"/>
        <v>1</v>
      </c>
      <c r="X177" s="11">
        <f t="shared" si="23"/>
        <v>1.6997708944320307</v>
      </c>
      <c r="Y177" s="10">
        <f t="shared" si="24"/>
        <v>218.64261379064402</v>
      </c>
      <c r="Z177" s="10">
        <f t="shared" si="25"/>
        <v>693.89261379064396</v>
      </c>
    </row>
    <row r="178" spans="1:26" x14ac:dyDescent="0.25">
      <c r="A178" s="2" t="s">
        <v>173</v>
      </c>
      <c r="B178">
        <v>22</v>
      </c>
      <c r="C178">
        <v>663</v>
      </c>
      <c r="D178">
        <v>511</v>
      </c>
      <c r="E178">
        <v>621</v>
      </c>
      <c r="F178">
        <v>330</v>
      </c>
      <c r="G178">
        <v>411</v>
      </c>
      <c r="H178">
        <v>834</v>
      </c>
      <c r="I178">
        <v>373</v>
      </c>
      <c r="J178">
        <v>215</v>
      </c>
      <c r="K178">
        <v>488</v>
      </c>
      <c r="L178">
        <v>331</v>
      </c>
      <c r="M178">
        <v>376</v>
      </c>
      <c r="N178">
        <v>601</v>
      </c>
      <c r="O178" s="12">
        <v>0.96952846848624863</v>
      </c>
      <c r="P178" s="3">
        <v>2</v>
      </c>
      <c r="Q178" s="4">
        <v>240</v>
      </c>
      <c r="S178">
        <f t="shared" si="26"/>
        <v>5754</v>
      </c>
      <c r="T178" s="10">
        <f t="shared" si="19"/>
        <v>479.5</v>
      </c>
      <c r="U178" s="10">
        <f t="shared" si="20"/>
        <v>15.983333333333333</v>
      </c>
      <c r="V178" s="10">
        <f t="shared" si="21"/>
        <v>174.85084552789036</v>
      </c>
      <c r="W178" s="11">
        <f t="shared" si="22"/>
        <v>0.73333333333333328</v>
      </c>
      <c r="X178" s="11">
        <f t="shared" si="23"/>
        <v>1.8739083162881582</v>
      </c>
      <c r="Y178" s="10">
        <f t="shared" si="24"/>
        <v>280.58651074783222</v>
      </c>
      <c r="Z178" s="10">
        <f t="shared" si="25"/>
        <v>632.21984408116555</v>
      </c>
    </row>
    <row r="179" spans="1:26" x14ac:dyDescent="0.25">
      <c r="A179" s="2" t="s">
        <v>174</v>
      </c>
      <c r="B179">
        <v>29</v>
      </c>
      <c r="C179">
        <v>654</v>
      </c>
      <c r="D179">
        <v>507</v>
      </c>
      <c r="E179">
        <v>775</v>
      </c>
      <c r="F179">
        <v>327</v>
      </c>
      <c r="G179">
        <v>416</v>
      </c>
      <c r="H179">
        <v>677</v>
      </c>
      <c r="I179">
        <v>411</v>
      </c>
      <c r="J179">
        <v>708</v>
      </c>
      <c r="K179">
        <v>804</v>
      </c>
      <c r="L179">
        <v>536</v>
      </c>
      <c r="M179">
        <v>420</v>
      </c>
      <c r="N179">
        <v>294</v>
      </c>
      <c r="O179" s="12">
        <v>0.95194969707610388</v>
      </c>
      <c r="P179" s="3">
        <v>3</v>
      </c>
      <c r="Q179" s="4">
        <v>226</v>
      </c>
      <c r="S179">
        <f t="shared" si="26"/>
        <v>6529</v>
      </c>
      <c r="T179" s="10">
        <f t="shared" si="19"/>
        <v>544.08333333333337</v>
      </c>
      <c r="U179" s="10">
        <f t="shared" si="20"/>
        <v>18.136111111111113</v>
      </c>
      <c r="V179" s="10">
        <f t="shared" si="21"/>
        <v>175.32227900398598</v>
      </c>
      <c r="W179" s="11">
        <f t="shared" si="22"/>
        <v>0.96666666666666667</v>
      </c>
      <c r="X179" s="11">
        <f t="shared" si="23"/>
        <v>1.6640591680313392</v>
      </c>
      <c r="Y179" s="10">
        <f t="shared" si="24"/>
        <v>286.84299152790766</v>
      </c>
      <c r="Z179" s="10">
        <f t="shared" si="25"/>
        <v>812.79021375012996</v>
      </c>
    </row>
    <row r="180" spans="1:26" x14ac:dyDescent="0.25">
      <c r="A180" s="2" t="s">
        <v>175</v>
      </c>
      <c r="B180">
        <v>19</v>
      </c>
      <c r="C180">
        <v>597</v>
      </c>
      <c r="D180">
        <v>502</v>
      </c>
      <c r="E180">
        <v>701</v>
      </c>
      <c r="F180">
        <v>531</v>
      </c>
      <c r="G180">
        <v>234</v>
      </c>
      <c r="H180">
        <v>447</v>
      </c>
      <c r="I180">
        <v>675</v>
      </c>
      <c r="J180">
        <v>308</v>
      </c>
      <c r="K180">
        <v>747</v>
      </c>
      <c r="L180">
        <v>745</v>
      </c>
      <c r="M180">
        <v>303</v>
      </c>
      <c r="N180">
        <v>854</v>
      </c>
      <c r="O180" s="12">
        <v>0.9767576842099025</v>
      </c>
      <c r="P180" s="3">
        <v>4</v>
      </c>
      <c r="Q180" s="4">
        <v>195</v>
      </c>
      <c r="S180">
        <f t="shared" si="26"/>
        <v>6644</v>
      </c>
      <c r="T180" s="10">
        <f t="shared" si="19"/>
        <v>553.66666666666663</v>
      </c>
      <c r="U180" s="10">
        <f t="shared" si="20"/>
        <v>18.455555555555556</v>
      </c>
      <c r="V180" s="10">
        <f t="shared" si="21"/>
        <v>200.55075681883139</v>
      </c>
      <c r="W180" s="11">
        <f t="shared" si="22"/>
        <v>0.6333333333333333</v>
      </c>
      <c r="X180" s="11">
        <f t="shared" si="23"/>
        <v>1.990965942811197</v>
      </c>
      <c r="Y180" s="10">
        <f t="shared" si="24"/>
        <v>317.76371882646407</v>
      </c>
      <c r="Z180" s="10">
        <f t="shared" si="25"/>
        <v>668.41927438201969</v>
      </c>
    </row>
    <row r="181" spans="1:26" x14ac:dyDescent="0.25">
      <c r="A181" s="2" t="s">
        <v>176</v>
      </c>
      <c r="B181">
        <v>27</v>
      </c>
      <c r="C181">
        <v>859</v>
      </c>
      <c r="D181">
        <v>759</v>
      </c>
      <c r="E181">
        <v>560</v>
      </c>
      <c r="F181">
        <v>412</v>
      </c>
      <c r="G181">
        <v>872</v>
      </c>
      <c r="H181">
        <v>523</v>
      </c>
      <c r="I181">
        <v>355</v>
      </c>
      <c r="J181">
        <v>647</v>
      </c>
      <c r="K181">
        <v>879</v>
      </c>
      <c r="L181">
        <v>851</v>
      </c>
      <c r="M181">
        <v>709</v>
      </c>
      <c r="N181">
        <v>299</v>
      </c>
      <c r="O181" s="12">
        <v>0.97416124655108227</v>
      </c>
      <c r="P181" s="3">
        <v>4</v>
      </c>
      <c r="Q181" s="4">
        <v>273</v>
      </c>
      <c r="S181">
        <f t="shared" si="26"/>
        <v>7725</v>
      </c>
      <c r="T181" s="10">
        <f t="shared" si="19"/>
        <v>643.75</v>
      </c>
      <c r="U181" s="10">
        <f t="shared" si="20"/>
        <v>21.458333333333332</v>
      </c>
      <c r="V181" s="10">
        <f t="shared" si="21"/>
        <v>211.44701678929147</v>
      </c>
      <c r="W181" s="11">
        <f t="shared" si="22"/>
        <v>0.9</v>
      </c>
      <c r="X181" s="11">
        <f t="shared" si="23"/>
        <v>1.9458104998795196</v>
      </c>
      <c r="Y181" s="10">
        <f t="shared" si="24"/>
        <v>390.32229581152308</v>
      </c>
      <c r="Z181" s="10">
        <f t="shared" si="25"/>
        <v>969.69729581152308</v>
      </c>
    </row>
    <row r="182" spans="1:26" x14ac:dyDescent="0.25">
      <c r="A182" s="2" t="s">
        <v>177</v>
      </c>
      <c r="B182">
        <v>23</v>
      </c>
      <c r="C182">
        <v>724</v>
      </c>
      <c r="D182">
        <v>655</v>
      </c>
      <c r="E182">
        <v>649</v>
      </c>
      <c r="F182">
        <v>416</v>
      </c>
      <c r="G182">
        <v>618</v>
      </c>
      <c r="H182">
        <v>277</v>
      </c>
      <c r="I182">
        <v>889</v>
      </c>
      <c r="J182">
        <v>357</v>
      </c>
      <c r="K182">
        <v>881</v>
      </c>
      <c r="L182">
        <v>691</v>
      </c>
      <c r="M182">
        <v>576</v>
      </c>
      <c r="N182">
        <v>462</v>
      </c>
      <c r="O182" s="12">
        <v>0.9598570582752165</v>
      </c>
      <c r="P182" s="3">
        <v>3</v>
      </c>
      <c r="Q182" s="4">
        <v>157</v>
      </c>
      <c r="S182">
        <f t="shared" si="26"/>
        <v>7195</v>
      </c>
      <c r="T182" s="10">
        <f t="shared" si="19"/>
        <v>599.58333333333337</v>
      </c>
      <c r="U182" s="10">
        <f t="shared" si="20"/>
        <v>19.986111111111111</v>
      </c>
      <c r="V182" s="10">
        <f t="shared" si="21"/>
        <v>192.76479230273142</v>
      </c>
      <c r="W182" s="11">
        <f t="shared" si="22"/>
        <v>0.76666666666666672</v>
      </c>
      <c r="X182" s="11">
        <f t="shared" si="23"/>
        <v>1.7490297130006387</v>
      </c>
      <c r="Y182" s="10">
        <f t="shared" si="24"/>
        <v>295.20804780121932</v>
      </c>
      <c r="Z182" s="10">
        <f t="shared" si="25"/>
        <v>754.88860335677487</v>
      </c>
    </row>
    <row r="183" spans="1:26" x14ac:dyDescent="0.25">
      <c r="A183" s="2" t="s">
        <v>178</v>
      </c>
      <c r="B183">
        <v>19</v>
      </c>
      <c r="C183">
        <v>254</v>
      </c>
      <c r="D183">
        <v>617</v>
      </c>
      <c r="E183">
        <v>235</v>
      </c>
      <c r="F183">
        <v>367</v>
      </c>
      <c r="G183">
        <v>252</v>
      </c>
      <c r="H183">
        <v>428</v>
      </c>
      <c r="I183">
        <v>230</v>
      </c>
      <c r="J183">
        <v>447</v>
      </c>
      <c r="K183">
        <v>562</v>
      </c>
      <c r="L183">
        <v>787</v>
      </c>
      <c r="M183">
        <v>278</v>
      </c>
      <c r="N183">
        <v>796</v>
      </c>
      <c r="O183" s="12">
        <v>0.95377077844912961</v>
      </c>
      <c r="P183" s="3">
        <v>1</v>
      </c>
      <c r="Q183" s="4">
        <v>258</v>
      </c>
      <c r="S183">
        <f t="shared" si="26"/>
        <v>5253</v>
      </c>
      <c r="T183" s="10">
        <f t="shared" si="19"/>
        <v>437.75</v>
      </c>
      <c r="U183" s="10">
        <f t="shared" si="20"/>
        <v>14.591666666666667</v>
      </c>
      <c r="V183" s="10">
        <f t="shared" si="21"/>
        <v>209.1385469447988</v>
      </c>
      <c r="W183" s="11">
        <f t="shared" si="22"/>
        <v>0.6333333333333333</v>
      </c>
      <c r="X183" s="11">
        <f t="shared" si="23"/>
        <v>1.6825695882051031</v>
      </c>
      <c r="Y183" s="10">
        <f t="shared" si="24"/>
        <v>280.04207978378838</v>
      </c>
      <c r="Z183" s="10">
        <f t="shared" si="25"/>
        <v>557.28374645045506</v>
      </c>
    </row>
    <row r="184" spans="1:26" x14ac:dyDescent="0.25">
      <c r="A184" s="2" t="s">
        <v>179</v>
      </c>
      <c r="B184">
        <v>23</v>
      </c>
      <c r="C184">
        <v>799</v>
      </c>
      <c r="D184">
        <v>547</v>
      </c>
      <c r="E184">
        <v>556</v>
      </c>
      <c r="F184">
        <v>523</v>
      </c>
      <c r="G184">
        <v>207</v>
      </c>
      <c r="H184">
        <v>657</v>
      </c>
      <c r="I184">
        <v>731</v>
      </c>
      <c r="J184">
        <v>553</v>
      </c>
      <c r="K184">
        <v>662</v>
      </c>
      <c r="L184">
        <v>807</v>
      </c>
      <c r="M184">
        <v>372</v>
      </c>
      <c r="N184">
        <v>512</v>
      </c>
      <c r="O184" s="12">
        <v>0.97454281294358569</v>
      </c>
      <c r="P184" s="3">
        <v>4</v>
      </c>
      <c r="Q184" s="4">
        <v>227</v>
      </c>
      <c r="S184">
        <f t="shared" si="26"/>
        <v>6926</v>
      </c>
      <c r="T184" s="10">
        <f t="shared" si="19"/>
        <v>577.16666666666663</v>
      </c>
      <c r="U184" s="10">
        <f t="shared" si="20"/>
        <v>19.238888888888887</v>
      </c>
      <c r="V184" s="10">
        <f t="shared" si="21"/>
        <v>172.54977323202783</v>
      </c>
      <c r="W184" s="11">
        <f t="shared" si="22"/>
        <v>0.76666666666666672</v>
      </c>
      <c r="X184" s="11">
        <f t="shared" si="23"/>
        <v>1.9522007590738006</v>
      </c>
      <c r="Y184" s="10">
        <f t="shared" si="24"/>
        <v>294.94576236585374</v>
      </c>
      <c r="Z184" s="10">
        <f t="shared" si="25"/>
        <v>737.44020681029815</v>
      </c>
    </row>
    <row r="185" spans="1:26" x14ac:dyDescent="0.25">
      <c r="A185" s="2" t="s">
        <v>180</v>
      </c>
      <c r="B185">
        <v>21</v>
      </c>
      <c r="C185">
        <v>382</v>
      </c>
      <c r="D185">
        <v>447</v>
      </c>
      <c r="E185">
        <v>707</v>
      </c>
      <c r="F185">
        <v>291</v>
      </c>
      <c r="G185">
        <v>209</v>
      </c>
      <c r="H185">
        <v>893</v>
      </c>
      <c r="I185">
        <v>410</v>
      </c>
      <c r="J185">
        <v>314</v>
      </c>
      <c r="K185">
        <v>550</v>
      </c>
      <c r="L185">
        <v>717</v>
      </c>
      <c r="M185">
        <v>850</v>
      </c>
      <c r="N185">
        <v>226</v>
      </c>
      <c r="O185" s="12">
        <v>0.95083655512575604</v>
      </c>
      <c r="P185" s="3">
        <v>4</v>
      </c>
      <c r="Q185" s="4">
        <v>219</v>
      </c>
      <c r="S185">
        <f t="shared" si="26"/>
        <v>5996</v>
      </c>
      <c r="T185" s="10">
        <f t="shared" si="19"/>
        <v>499.66666666666669</v>
      </c>
      <c r="U185" s="10">
        <f t="shared" si="20"/>
        <v>16.655555555555555</v>
      </c>
      <c r="V185" s="10">
        <f t="shared" si="21"/>
        <v>239.74468743126539</v>
      </c>
      <c r="W185" s="11">
        <f t="shared" si="22"/>
        <v>0.7</v>
      </c>
      <c r="X185" s="11">
        <f t="shared" si="23"/>
        <v>1.6530195258613287</v>
      </c>
      <c r="Y185" s="10">
        <f t="shared" si="24"/>
        <v>331.57058528418111</v>
      </c>
      <c r="Z185" s="10">
        <f t="shared" si="25"/>
        <v>681.33725195084776</v>
      </c>
    </row>
    <row r="186" spans="1:26" x14ac:dyDescent="0.25">
      <c r="A186" s="2" t="s">
        <v>181</v>
      </c>
      <c r="B186">
        <v>20</v>
      </c>
      <c r="C186">
        <v>599</v>
      </c>
      <c r="D186">
        <v>558</v>
      </c>
      <c r="E186">
        <v>773</v>
      </c>
      <c r="F186">
        <v>498</v>
      </c>
      <c r="G186">
        <v>821</v>
      </c>
      <c r="H186">
        <v>814</v>
      </c>
      <c r="I186">
        <v>219</v>
      </c>
      <c r="J186">
        <v>455</v>
      </c>
      <c r="K186">
        <v>568</v>
      </c>
      <c r="L186">
        <v>561</v>
      </c>
      <c r="M186">
        <v>309</v>
      </c>
      <c r="N186">
        <v>507</v>
      </c>
      <c r="O186" s="12">
        <v>0.97906166838031139</v>
      </c>
      <c r="P186" s="3">
        <v>2</v>
      </c>
      <c r="Q186" s="4">
        <v>195</v>
      </c>
      <c r="S186">
        <f t="shared" si="26"/>
        <v>6682</v>
      </c>
      <c r="T186" s="10">
        <f t="shared" si="19"/>
        <v>556.83333333333337</v>
      </c>
      <c r="U186" s="10">
        <f t="shared" si="20"/>
        <v>18.561111111111114</v>
      </c>
      <c r="V186" s="10">
        <f t="shared" si="21"/>
        <v>184.99033553789837</v>
      </c>
      <c r="W186" s="11">
        <f t="shared" si="22"/>
        <v>0.66666666666666663</v>
      </c>
      <c r="X186" s="11">
        <f t="shared" si="23"/>
        <v>2.0347437534718131</v>
      </c>
      <c r="Y186" s="10">
        <f t="shared" si="24"/>
        <v>307.3357876246572</v>
      </c>
      <c r="Z186" s="10">
        <f t="shared" si="25"/>
        <v>678.55800984687949</v>
      </c>
    </row>
    <row r="187" spans="1:26" x14ac:dyDescent="0.25">
      <c r="A187" s="2" t="s">
        <v>182</v>
      </c>
      <c r="B187">
        <v>28</v>
      </c>
      <c r="C187">
        <v>708</v>
      </c>
      <c r="D187">
        <v>895</v>
      </c>
      <c r="E187">
        <v>669</v>
      </c>
      <c r="F187">
        <v>258</v>
      </c>
      <c r="G187">
        <v>395</v>
      </c>
      <c r="H187">
        <v>498</v>
      </c>
      <c r="I187">
        <v>291</v>
      </c>
      <c r="J187">
        <v>580</v>
      </c>
      <c r="K187">
        <v>757</v>
      </c>
      <c r="L187">
        <v>296</v>
      </c>
      <c r="M187">
        <v>761</v>
      </c>
      <c r="N187">
        <v>328</v>
      </c>
      <c r="O187" s="12">
        <v>0.96268280882125767</v>
      </c>
      <c r="P187" s="3">
        <v>4</v>
      </c>
      <c r="Q187" s="4">
        <v>237</v>
      </c>
      <c r="S187">
        <f t="shared" si="26"/>
        <v>6436</v>
      </c>
      <c r="T187" s="10">
        <f t="shared" si="19"/>
        <v>536.33333333333337</v>
      </c>
      <c r="U187" s="10">
        <f t="shared" si="20"/>
        <v>17.87777777777778</v>
      </c>
      <c r="V187" s="10">
        <f t="shared" si="21"/>
        <v>220.95920369373547</v>
      </c>
      <c r="W187" s="11">
        <f t="shared" si="22"/>
        <v>0.93333333333333335</v>
      </c>
      <c r="X187" s="11">
        <f t="shared" si="23"/>
        <v>1.7827047215599896</v>
      </c>
      <c r="Y187" s="10">
        <f t="shared" si="24"/>
        <v>380.54839897855192</v>
      </c>
      <c r="Z187" s="10">
        <f t="shared" si="25"/>
        <v>881.12617675632976</v>
      </c>
    </row>
    <row r="188" spans="1:26" x14ac:dyDescent="0.25">
      <c r="A188" s="2" t="s">
        <v>183</v>
      </c>
      <c r="B188">
        <v>20</v>
      </c>
      <c r="C188">
        <v>330</v>
      </c>
      <c r="D188">
        <v>759</v>
      </c>
      <c r="E188">
        <v>209</v>
      </c>
      <c r="F188">
        <v>427</v>
      </c>
      <c r="G188">
        <v>447</v>
      </c>
      <c r="H188">
        <v>449</v>
      </c>
      <c r="I188">
        <v>824</v>
      </c>
      <c r="J188">
        <v>664</v>
      </c>
      <c r="K188">
        <v>900</v>
      </c>
      <c r="L188">
        <v>843</v>
      </c>
      <c r="M188">
        <v>771</v>
      </c>
      <c r="N188">
        <v>400</v>
      </c>
      <c r="O188" s="12">
        <v>0.95563013772239191</v>
      </c>
      <c r="P188" s="3">
        <v>1</v>
      </c>
      <c r="Q188" s="4">
        <v>207</v>
      </c>
      <c r="S188">
        <f t="shared" si="26"/>
        <v>7023</v>
      </c>
      <c r="T188" s="10">
        <f t="shared" si="19"/>
        <v>585.25</v>
      </c>
      <c r="U188" s="10">
        <f t="shared" si="20"/>
        <v>19.508333333333333</v>
      </c>
      <c r="V188" s="10">
        <f t="shared" si="21"/>
        <v>232.99478144760707</v>
      </c>
      <c r="W188" s="11">
        <f t="shared" si="22"/>
        <v>0.66666666666666663</v>
      </c>
      <c r="X188" s="11">
        <f t="shared" si="23"/>
        <v>1.7020834571582903</v>
      </c>
      <c r="Y188" s="10">
        <f t="shared" si="24"/>
        <v>323.80340785226724</v>
      </c>
      <c r="Z188" s="10">
        <f t="shared" si="25"/>
        <v>713.97007451893387</v>
      </c>
    </row>
    <row r="189" spans="1:26" x14ac:dyDescent="0.25">
      <c r="A189" s="2" t="s">
        <v>184</v>
      </c>
      <c r="B189">
        <v>28</v>
      </c>
      <c r="C189">
        <v>265</v>
      </c>
      <c r="D189">
        <v>533</v>
      </c>
      <c r="E189">
        <v>610</v>
      </c>
      <c r="F189">
        <v>853</v>
      </c>
      <c r="G189">
        <v>299</v>
      </c>
      <c r="H189">
        <v>459</v>
      </c>
      <c r="I189">
        <v>436</v>
      </c>
      <c r="J189">
        <v>245</v>
      </c>
      <c r="K189">
        <v>679</v>
      </c>
      <c r="L189">
        <v>630</v>
      </c>
      <c r="M189">
        <v>479</v>
      </c>
      <c r="N189">
        <v>583</v>
      </c>
      <c r="O189" s="12">
        <v>0.95597616719884926</v>
      </c>
      <c r="P189" s="3">
        <v>2</v>
      </c>
      <c r="Q189" s="4">
        <v>282</v>
      </c>
      <c r="S189">
        <f t="shared" si="26"/>
        <v>6071</v>
      </c>
      <c r="T189" s="10">
        <f t="shared" si="19"/>
        <v>505.91666666666669</v>
      </c>
      <c r="U189" s="10">
        <f t="shared" si="20"/>
        <v>16.863888888888891</v>
      </c>
      <c r="V189" s="10">
        <f t="shared" si="21"/>
        <v>180.92613175413643</v>
      </c>
      <c r="W189" s="11">
        <f t="shared" si="22"/>
        <v>0.93333333333333335</v>
      </c>
      <c r="X189" s="11">
        <f t="shared" si="23"/>
        <v>1.7057874230999766</v>
      </c>
      <c r="Y189" s="10">
        <f t="shared" si="24"/>
        <v>298.15671460786757</v>
      </c>
      <c r="Z189" s="10">
        <f t="shared" si="25"/>
        <v>770.34560349675644</v>
      </c>
    </row>
    <row r="190" spans="1:26" x14ac:dyDescent="0.25">
      <c r="A190" s="2" t="s">
        <v>185</v>
      </c>
      <c r="B190">
        <v>29</v>
      </c>
      <c r="C190">
        <v>698</v>
      </c>
      <c r="D190">
        <v>308</v>
      </c>
      <c r="E190">
        <v>254</v>
      </c>
      <c r="F190">
        <v>516</v>
      </c>
      <c r="G190">
        <v>423</v>
      </c>
      <c r="H190">
        <v>368</v>
      </c>
      <c r="I190">
        <v>425</v>
      </c>
      <c r="J190">
        <v>250</v>
      </c>
      <c r="K190">
        <v>618</v>
      </c>
      <c r="L190">
        <v>645</v>
      </c>
      <c r="M190">
        <v>450</v>
      </c>
      <c r="N190">
        <v>386</v>
      </c>
      <c r="O190" s="12">
        <v>0.96312455902225691</v>
      </c>
      <c r="P190" s="3">
        <v>4</v>
      </c>
      <c r="Q190" s="4">
        <v>282</v>
      </c>
      <c r="S190">
        <f t="shared" si="26"/>
        <v>5341</v>
      </c>
      <c r="T190" s="10">
        <f t="shared" si="19"/>
        <v>445.08333333333331</v>
      </c>
      <c r="U190" s="10">
        <f t="shared" si="20"/>
        <v>14.83611111111111</v>
      </c>
      <c r="V190" s="10">
        <f t="shared" si="21"/>
        <v>148.49943883171181</v>
      </c>
      <c r="W190" s="11">
        <f t="shared" si="22"/>
        <v>0.96666666666666667</v>
      </c>
      <c r="X190" s="11">
        <f t="shared" si="23"/>
        <v>1.7881557575580074</v>
      </c>
      <c r="Y190" s="10">
        <f t="shared" si="24"/>
        <v>261.07694940379815</v>
      </c>
      <c r="Z190" s="10">
        <f t="shared" si="25"/>
        <v>691.32417162602042</v>
      </c>
    </row>
    <row r="191" spans="1:26" x14ac:dyDescent="0.25">
      <c r="A191" s="2" t="s">
        <v>186</v>
      </c>
      <c r="B191">
        <v>26</v>
      </c>
      <c r="C191">
        <v>651</v>
      </c>
      <c r="D191">
        <v>705</v>
      </c>
      <c r="E191">
        <v>654</v>
      </c>
      <c r="F191">
        <v>425</v>
      </c>
      <c r="G191">
        <v>336</v>
      </c>
      <c r="H191">
        <v>606</v>
      </c>
      <c r="I191">
        <v>648</v>
      </c>
      <c r="J191">
        <v>371</v>
      </c>
      <c r="K191">
        <v>291</v>
      </c>
      <c r="L191">
        <v>435</v>
      </c>
      <c r="M191">
        <v>550</v>
      </c>
      <c r="N191">
        <v>219</v>
      </c>
      <c r="O191" s="12">
        <v>0.95471842991380385</v>
      </c>
      <c r="P191" s="3">
        <v>1</v>
      </c>
      <c r="Q191" s="4">
        <v>168</v>
      </c>
      <c r="S191">
        <f t="shared" si="26"/>
        <v>5891</v>
      </c>
      <c r="T191" s="10">
        <f t="shared" si="19"/>
        <v>490.91666666666669</v>
      </c>
      <c r="U191" s="10">
        <f t="shared" si="20"/>
        <v>16.363888888888891</v>
      </c>
      <c r="V191" s="10">
        <f t="shared" si="21"/>
        <v>164.92998973852966</v>
      </c>
      <c r="W191" s="11">
        <f t="shared" si="22"/>
        <v>0.8666666666666667</v>
      </c>
      <c r="X191" s="11">
        <f t="shared" si="23"/>
        <v>1.6924345986787168</v>
      </c>
      <c r="Y191" s="10">
        <f t="shared" si="24"/>
        <v>259.85888680930901</v>
      </c>
      <c r="Z191" s="10">
        <f t="shared" si="25"/>
        <v>685.31999792042018</v>
      </c>
    </row>
    <row r="192" spans="1:26" x14ac:dyDescent="0.25">
      <c r="A192" s="2" t="s">
        <v>187</v>
      </c>
      <c r="B192">
        <v>23</v>
      </c>
      <c r="C192">
        <v>782</v>
      </c>
      <c r="D192">
        <v>214</v>
      </c>
      <c r="E192">
        <v>511</v>
      </c>
      <c r="F192">
        <v>707</v>
      </c>
      <c r="G192">
        <v>430</v>
      </c>
      <c r="H192">
        <v>317</v>
      </c>
      <c r="I192">
        <v>611</v>
      </c>
      <c r="J192">
        <v>236</v>
      </c>
      <c r="K192">
        <v>286</v>
      </c>
      <c r="L192">
        <v>576</v>
      </c>
      <c r="M192">
        <v>588</v>
      </c>
      <c r="N192">
        <v>737</v>
      </c>
      <c r="O192" s="12">
        <v>0.95825994183080265</v>
      </c>
      <c r="P192" s="3">
        <v>3</v>
      </c>
      <c r="Q192" s="4">
        <v>167</v>
      </c>
      <c r="S192">
        <f t="shared" si="26"/>
        <v>5995</v>
      </c>
      <c r="T192" s="10">
        <f t="shared" si="19"/>
        <v>499.58333333333331</v>
      </c>
      <c r="U192" s="10">
        <f t="shared" si="20"/>
        <v>16.652777777777779</v>
      </c>
      <c r="V192" s="10">
        <f t="shared" si="21"/>
        <v>200.04065874595378</v>
      </c>
      <c r="W192" s="11">
        <f t="shared" si="22"/>
        <v>0.76666666666666672</v>
      </c>
      <c r="X192" s="11">
        <f t="shared" si="23"/>
        <v>1.7308410599076105</v>
      </c>
      <c r="Y192" s="10">
        <f t="shared" si="24"/>
        <v>303.16478692623178</v>
      </c>
      <c r="Z192" s="10">
        <f t="shared" si="25"/>
        <v>686.17867581512064</v>
      </c>
    </row>
    <row r="193" spans="1:26" x14ac:dyDescent="0.25">
      <c r="A193" s="2" t="s">
        <v>188</v>
      </c>
      <c r="B193">
        <v>23</v>
      </c>
      <c r="C193">
        <v>283</v>
      </c>
      <c r="D193">
        <v>277</v>
      </c>
      <c r="E193">
        <v>862</v>
      </c>
      <c r="F193">
        <v>671</v>
      </c>
      <c r="G193">
        <v>631</v>
      </c>
      <c r="H193">
        <v>313</v>
      </c>
      <c r="I193">
        <v>754</v>
      </c>
      <c r="J193">
        <v>357</v>
      </c>
      <c r="K193">
        <v>791</v>
      </c>
      <c r="L193">
        <v>880</v>
      </c>
      <c r="M193">
        <v>653</v>
      </c>
      <c r="N193">
        <v>695</v>
      </c>
      <c r="O193" s="12">
        <v>0.95722992524729067</v>
      </c>
      <c r="P193" s="3">
        <v>1</v>
      </c>
      <c r="Q193" s="4">
        <v>205</v>
      </c>
      <c r="S193">
        <f t="shared" si="26"/>
        <v>7167</v>
      </c>
      <c r="T193" s="10">
        <f t="shared" si="19"/>
        <v>597.25</v>
      </c>
      <c r="U193" s="10">
        <f t="shared" si="20"/>
        <v>19.908333333333335</v>
      </c>
      <c r="V193" s="10">
        <f t="shared" si="21"/>
        <v>227.88000231381747</v>
      </c>
      <c r="W193" s="11">
        <f t="shared" si="22"/>
        <v>0.76666666666666672</v>
      </c>
      <c r="X193" s="11">
        <f t="shared" si="23"/>
        <v>1.7194077640085688</v>
      </c>
      <c r="Y193" s="10">
        <f t="shared" si="24"/>
        <v>343.07446069521376</v>
      </c>
      <c r="Z193" s="10">
        <f t="shared" si="25"/>
        <v>800.96612736188047</v>
      </c>
    </row>
    <row r="194" spans="1:26" x14ac:dyDescent="0.25">
      <c r="A194" s="2" t="s">
        <v>189</v>
      </c>
      <c r="B194">
        <v>24</v>
      </c>
      <c r="C194">
        <v>886</v>
      </c>
      <c r="D194">
        <v>716</v>
      </c>
      <c r="E194">
        <v>722</v>
      </c>
      <c r="F194">
        <v>562</v>
      </c>
      <c r="G194">
        <v>421</v>
      </c>
      <c r="H194">
        <v>237</v>
      </c>
      <c r="I194">
        <v>623</v>
      </c>
      <c r="J194">
        <v>871</v>
      </c>
      <c r="K194">
        <v>643</v>
      </c>
      <c r="L194">
        <v>456</v>
      </c>
      <c r="M194">
        <v>762</v>
      </c>
      <c r="N194">
        <v>779</v>
      </c>
      <c r="O194" s="12">
        <v>0.95470179715586445</v>
      </c>
      <c r="P194" s="3">
        <v>1</v>
      </c>
      <c r="Q194" s="4">
        <v>189</v>
      </c>
      <c r="S194">
        <f t="shared" si="26"/>
        <v>7678</v>
      </c>
      <c r="T194" s="10">
        <f t="shared" si="19"/>
        <v>639.83333333333337</v>
      </c>
      <c r="U194" s="10">
        <f t="shared" si="20"/>
        <v>21.327777777777779</v>
      </c>
      <c r="V194" s="10">
        <f t="shared" si="21"/>
        <v>193.34135302071002</v>
      </c>
      <c r="W194" s="11">
        <f t="shared" si="22"/>
        <v>0.8</v>
      </c>
      <c r="X194" s="11">
        <f t="shared" si="23"/>
        <v>1.6922600275338378</v>
      </c>
      <c r="Y194" s="10">
        <f t="shared" si="24"/>
        <v>292.64212598052552</v>
      </c>
      <c r="Z194" s="10">
        <f t="shared" si="25"/>
        <v>804.50879264719219</v>
      </c>
    </row>
    <row r="195" spans="1:26" x14ac:dyDescent="0.25">
      <c r="A195" s="2" t="s">
        <v>190</v>
      </c>
      <c r="B195">
        <v>30</v>
      </c>
      <c r="C195">
        <v>886</v>
      </c>
      <c r="D195">
        <v>475</v>
      </c>
      <c r="E195">
        <v>881</v>
      </c>
      <c r="F195">
        <v>271</v>
      </c>
      <c r="G195">
        <v>787</v>
      </c>
      <c r="H195">
        <v>805</v>
      </c>
      <c r="I195">
        <v>215</v>
      </c>
      <c r="J195">
        <v>405</v>
      </c>
      <c r="K195">
        <v>679</v>
      </c>
      <c r="L195">
        <v>271</v>
      </c>
      <c r="M195">
        <v>806</v>
      </c>
      <c r="N195">
        <v>276</v>
      </c>
      <c r="O195" s="12">
        <v>0.95452151165042909</v>
      </c>
      <c r="P195" s="3">
        <v>1</v>
      </c>
      <c r="Q195" s="4">
        <v>219</v>
      </c>
      <c r="S195">
        <f t="shared" si="26"/>
        <v>6757</v>
      </c>
      <c r="T195" s="10">
        <f t="shared" si="19"/>
        <v>563.08333333333337</v>
      </c>
      <c r="U195" s="10">
        <f t="shared" si="20"/>
        <v>18.769444444444446</v>
      </c>
      <c r="V195" s="10">
        <f t="shared" si="21"/>
        <v>268.5663819526776</v>
      </c>
      <c r="W195" s="11">
        <f t="shared" si="22"/>
        <v>1</v>
      </c>
      <c r="X195" s="11">
        <f t="shared" si="23"/>
        <v>1.6903711195082824</v>
      </c>
      <c r="Y195" s="10">
        <f t="shared" si="24"/>
        <v>453.97685572363662</v>
      </c>
      <c r="Z195" s="10">
        <f t="shared" si="25"/>
        <v>1017.06018905697</v>
      </c>
    </row>
    <row r="196" spans="1:26" x14ac:dyDescent="0.25">
      <c r="A196" s="2" t="s">
        <v>191</v>
      </c>
      <c r="B196">
        <v>28</v>
      </c>
      <c r="C196">
        <v>676</v>
      </c>
      <c r="D196">
        <v>791</v>
      </c>
      <c r="E196">
        <v>718</v>
      </c>
      <c r="F196">
        <v>544</v>
      </c>
      <c r="G196">
        <v>759</v>
      </c>
      <c r="H196">
        <v>754</v>
      </c>
      <c r="I196">
        <v>272</v>
      </c>
      <c r="J196">
        <v>303</v>
      </c>
      <c r="K196">
        <v>583</v>
      </c>
      <c r="L196">
        <v>775</v>
      </c>
      <c r="M196">
        <v>763</v>
      </c>
      <c r="N196">
        <v>354</v>
      </c>
      <c r="O196" s="12">
        <v>0.95853694152852609</v>
      </c>
      <c r="P196" s="3">
        <v>1</v>
      </c>
      <c r="Q196" s="4">
        <v>275</v>
      </c>
      <c r="S196">
        <f t="shared" si="26"/>
        <v>7292</v>
      </c>
      <c r="T196" s="10">
        <f t="shared" si="19"/>
        <v>607.66666666666663</v>
      </c>
      <c r="U196" s="10">
        <f t="shared" si="20"/>
        <v>20.255555555555553</v>
      </c>
      <c r="V196" s="10">
        <f t="shared" si="21"/>
        <v>195.72723754028601</v>
      </c>
      <c r="W196" s="11">
        <f t="shared" si="22"/>
        <v>0.93333333333333335</v>
      </c>
      <c r="X196" s="11">
        <f t="shared" si="23"/>
        <v>1.73395472366073</v>
      </c>
      <c r="Y196" s="10">
        <f t="shared" si="24"/>
        <v>327.87432390769987</v>
      </c>
      <c r="Z196" s="10">
        <f t="shared" si="25"/>
        <v>895.02987946325538</v>
      </c>
    </row>
    <row r="197" spans="1:26" x14ac:dyDescent="0.25">
      <c r="A197" s="2" t="s">
        <v>192</v>
      </c>
      <c r="B197">
        <v>26</v>
      </c>
      <c r="C197">
        <v>801</v>
      </c>
      <c r="D197">
        <v>374</v>
      </c>
      <c r="E197">
        <v>873</v>
      </c>
      <c r="F197">
        <v>309</v>
      </c>
      <c r="G197">
        <v>686</v>
      </c>
      <c r="H197">
        <v>484</v>
      </c>
      <c r="I197">
        <v>380</v>
      </c>
      <c r="J197">
        <v>609</v>
      </c>
      <c r="K197">
        <v>525</v>
      </c>
      <c r="L197">
        <v>261</v>
      </c>
      <c r="M197">
        <v>235</v>
      </c>
      <c r="N197">
        <v>273</v>
      </c>
      <c r="O197" s="12">
        <v>0.9728751070583298</v>
      </c>
      <c r="P197" s="3">
        <v>4</v>
      </c>
      <c r="Q197" s="4">
        <v>189</v>
      </c>
      <c r="S197">
        <f t="shared" ref="S197:S202" si="27">SUM(C197:N197)</f>
        <v>5810</v>
      </c>
      <c r="T197" s="10">
        <f t="shared" si="19"/>
        <v>484.16666666666669</v>
      </c>
      <c r="U197" s="10">
        <f t="shared" si="20"/>
        <v>16.138888888888889</v>
      </c>
      <c r="V197" s="10">
        <f t="shared" si="21"/>
        <v>217.36263513197281</v>
      </c>
      <c r="W197" s="11">
        <f t="shared" si="22"/>
        <v>0.8666666666666667</v>
      </c>
      <c r="X197" s="11">
        <f t="shared" si="23"/>
        <v>1.9248367413742691</v>
      </c>
      <c r="Y197" s="10">
        <f t="shared" si="24"/>
        <v>389.49764576543083</v>
      </c>
      <c r="Z197" s="10">
        <f t="shared" si="25"/>
        <v>809.10875687654197</v>
      </c>
    </row>
    <row r="198" spans="1:26" x14ac:dyDescent="0.25">
      <c r="A198" s="2" t="s">
        <v>193</v>
      </c>
      <c r="B198">
        <v>29</v>
      </c>
      <c r="C198">
        <v>548</v>
      </c>
      <c r="D198">
        <v>247</v>
      </c>
      <c r="E198">
        <v>316</v>
      </c>
      <c r="F198">
        <v>769</v>
      </c>
      <c r="G198">
        <v>355</v>
      </c>
      <c r="H198">
        <v>817</v>
      </c>
      <c r="I198">
        <v>684</v>
      </c>
      <c r="J198">
        <v>680</v>
      </c>
      <c r="K198">
        <v>620</v>
      </c>
      <c r="L198">
        <v>668</v>
      </c>
      <c r="M198">
        <v>351</v>
      </c>
      <c r="N198">
        <v>671</v>
      </c>
      <c r="O198" s="12">
        <v>0.96933646040871158</v>
      </c>
      <c r="P198" s="3">
        <v>2</v>
      </c>
      <c r="Q198" s="4">
        <v>289</v>
      </c>
      <c r="S198">
        <f t="shared" si="27"/>
        <v>6726</v>
      </c>
      <c r="T198" s="10">
        <f t="shared" ref="T198:T202" si="28">AVERAGE(C198:N198)</f>
        <v>560.5</v>
      </c>
      <c r="U198" s="10">
        <f t="shared" ref="U198:U202" si="29">T198/30</f>
        <v>18.683333333333334</v>
      </c>
      <c r="V198" s="10">
        <f t="shared" ref="V198:V202" si="30">STDEV(C198:N198)</f>
        <v>193.1657319505714</v>
      </c>
      <c r="W198" s="11">
        <f t="shared" ref="W198:W202" si="31">B198/30</f>
        <v>0.96666666666666667</v>
      </c>
      <c r="X198" s="11">
        <f t="shared" ref="X198:X202" si="32">NORMSINV(O198)</f>
        <v>1.87112989248992</v>
      </c>
      <c r="Y198" s="10">
        <f t="shared" ref="Y198:Y202" si="33">X198*V198*SQRT(W198)</f>
        <v>355.36315141315964</v>
      </c>
      <c r="Z198" s="10">
        <f t="shared" ref="Z198:Z202" si="34">U198*B198+Y198</f>
        <v>897.17981807982642</v>
      </c>
    </row>
    <row r="199" spans="1:26" x14ac:dyDescent="0.25">
      <c r="A199" s="2" t="s">
        <v>194</v>
      </c>
      <c r="B199">
        <v>23</v>
      </c>
      <c r="C199">
        <v>750</v>
      </c>
      <c r="D199">
        <v>340</v>
      </c>
      <c r="E199">
        <v>216</v>
      </c>
      <c r="F199">
        <v>682</v>
      </c>
      <c r="G199">
        <v>842</v>
      </c>
      <c r="H199">
        <v>814</v>
      </c>
      <c r="I199">
        <v>509</v>
      </c>
      <c r="J199">
        <v>547</v>
      </c>
      <c r="K199">
        <v>491</v>
      </c>
      <c r="L199">
        <v>645</v>
      </c>
      <c r="M199">
        <v>484</v>
      </c>
      <c r="N199">
        <v>282</v>
      </c>
      <c r="O199" s="12">
        <v>0.96538647753185258</v>
      </c>
      <c r="P199" s="3">
        <v>2</v>
      </c>
      <c r="Q199" s="4">
        <v>214</v>
      </c>
      <c r="S199">
        <f t="shared" si="27"/>
        <v>6602</v>
      </c>
      <c r="T199" s="10">
        <f t="shared" si="28"/>
        <v>550.16666666666663</v>
      </c>
      <c r="U199" s="10">
        <f t="shared" si="29"/>
        <v>18.338888888888889</v>
      </c>
      <c r="V199" s="10">
        <f t="shared" si="30"/>
        <v>204.14247846822937</v>
      </c>
      <c r="W199" s="11">
        <f t="shared" si="31"/>
        <v>0.76666666666666672</v>
      </c>
      <c r="X199" s="11">
        <f t="shared" si="32"/>
        <v>1.8169351421746482</v>
      </c>
      <c r="Y199" s="10">
        <f t="shared" si="33"/>
        <v>324.77014463270046</v>
      </c>
      <c r="Z199" s="10">
        <f t="shared" si="34"/>
        <v>746.56458907714489</v>
      </c>
    </row>
    <row r="200" spans="1:26" x14ac:dyDescent="0.25">
      <c r="A200" s="2" t="s">
        <v>195</v>
      </c>
      <c r="B200">
        <v>21</v>
      </c>
      <c r="C200">
        <v>259</v>
      </c>
      <c r="D200">
        <v>365</v>
      </c>
      <c r="E200">
        <v>392</v>
      </c>
      <c r="F200">
        <v>655</v>
      </c>
      <c r="G200">
        <v>861</v>
      </c>
      <c r="H200">
        <v>704</v>
      </c>
      <c r="I200">
        <v>722</v>
      </c>
      <c r="J200">
        <v>654</v>
      </c>
      <c r="K200">
        <v>600</v>
      </c>
      <c r="L200">
        <v>487</v>
      </c>
      <c r="M200">
        <v>387</v>
      </c>
      <c r="N200">
        <v>229</v>
      </c>
      <c r="O200" s="12">
        <v>0.96727138541580382</v>
      </c>
      <c r="P200" s="3">
        <v>4</v>
      </c>
      <c r="Q200" s="4">
        <v>211</v>
      </c>
      <c r="S200">
        <f t="shared" si="27"/>
        <v>6315</v>
      </c>
      <c r="T200" s="10">
        <f t="shared" si="28"/>
        <v>526.25</v>
      </c>
      <c r="U200" s="10">
        <f t="shared" si="29"/>
        <v>17.541666666666668</v>
      </c>
      <c r="V200" s="10">
        <f t="shared" si="30"/>
        <v>201.14270149233943</v>
      </c>
      <c r="W200" s="11">
        <f t="shared" si="31"/>
        <v>0.7</v>
      </c>
      <c r="X200" s="11">
        <f t="shared" si="32"/>
        <v>1.842122528426037</v>
      </c>
      <c r="Y200" s="10">
        <f t="shared" si="33"/>
        <v>310.00722284739709</v>
      </c>
      <c r="Z200" s="10">
        <f t="shared" si="34"/>
        <v>678.38222284739709</v>
      </c>
    </row>
    <row r="201" spans="1:26" x14ac:dyDescent="0.25">
      <c r="A201" s="2" t="s">
        <v>196</v>
      </c>
      <c r="B201">
        <v>24</v>
      </c>
      <c r="C201">
        <v>583</v>
      </c>
      <c r="D201">
        <v>243</v>
      </c>
      <c r="E201">
        <v>508</v>
      </c>
      <c r="F201">
        <v>455</v>
      </c>
      <c r="G201">
        <v>583</v>
      </c>
      <c r="H201">
        <v>280</v>
      </c>
      <c r="I201">
        <v>677</v>
      </c>
      <c r="J201">
        <v>697</v>
      </c>
      <c r="K201">
        <v>567</v>
      </c>
      <c r="L201">
        <v>579</v>
      </c>
      <c r="M201">
        <v>372</v>
      </c>
      <c r="N201">
        <v>565</v>
      </c>
      <c r="O201" s="12">
        <v>0.95315988198436807</v>
      </c>
      <c r="P201" s="3">
        <v>1</v>
      </c>
      <c r="Q201" s="4">
        <v>185</v>
      </c>
      <c r="S201">
        <f t="shared" si="27"/>
        <v>6109</v>
      </c>
      <c r="T201" s="10">
        <f t="shared" si="28"/>
        <v>509.08333333333331</v>
      </c>
      <c r="U201" s="10">
        <f t="shared" si="29"/>
        <v>16.969444444444445</v>
      </c>
      <c r="V201" s="10">
        <f t="shared" si="30"/>
        <v>144.85193589777569</v>
      </c>
      <c r="W201" s="11">
        <f t="shared" si="31"/>
        <v>0.8</v>
      </c>
      <c r="X201" s="11">
        <f t="shared" si="32"/>
        <v>1.6762959591610949</v>
      </c>
      <c r="Y201" s="10">
        <f t="shared" si="33"/>
        <v>217.1800833117795</v>
      </c>
      <c r="Z201" s="10">
        <f t="shared" si="34"/>
        <v>624.44674997844618</v>
      </c>
    </row>
    <row r="202" spans="1:26" ht="15.75" thickBot="1" x14ac:dyDescent="0.3">
      <c r="A202" s="5" t="s">
        <v>197</v>
      </c>
      <c r="B202" s="6">
        <v>28</v>
      </c>
      <c r="C202" s="6">
        <v>706</v>
      </c>
      <c r="D202" s="6">
        <v>594</v>
      </c>
      <c r="E202" s="6">
        <v>890</v>
      </c>
      <c r="F202" s="6">
        <v>453</v>
      </c>
      <c r="G202" s="6">
        <v>430</v>
      </c>
      <c r="H202" s="6">
        <v>419</v>
      </c>
      <c r="I202" s="6">
        <v>225</v>
      </c>
      <c r="J202" s="6">
        <v>244</v>
      </c>
      <c r="K202" s="6">
        <v>734</v>
      </c>
      <c r="L202" s="6">
        <v>266</v>
      </c>
      <c r="M202" s="6">
        <v>716</v>
      </c>
      <c r="N202" s="6">
        <v>783</v>
      </c>
      <c r="O202" s="12">
        <v>0.96500743238419251</v>
      </c>
      <c r="P202" s="7">
        <v>3</v>
      </c>
      <c r="Q202" s="8">
        <v>226</v>
      </c>
      <c r="S202">
        <f t="shared" si="27"/>
        <v>6460</v>
      </c>
      <c r="T202" s="10">
        <f t="shared" si="28"/>
        <v>538.33333333333337</v>
      </c>
      <c r="U202" s="10">
        <f t="shared" si="29"/>
        <v>17.944444444444446</v>
      </c>
      <c r="V202" s="10">
        <f t="shared" si="30"/>
        <v>228.99516999008486</v>
      </c>
      <c r="W202" s="11">
        <f t="shared" si="31"/>
        <v>0.93333333333333335</v>
      </c>
      <c r="X202" s="11">
        <f t="shared" si="32"/>
        <v>1.8120068684469404</v>
      </c>
      <c r="Y202" s="10">
        <f t="shared" si="33"/>
        <v>400.87091750012377</v>
      </c>
      <c r="Z202" s="10">
        <f t="shared" si="34"/>
        <v>903.31536194456828</v>
      </c>
    </row>
  </sheetData>
  <mergeCells count="14">
    <mergeCell ref="Z2:Z4"/>
    <mergeCell ref="Y2:Y4"/>
    <mergeCell ref="V2:V4"/>
    <mergeCell ref="W2:W4"/>
    <mergeCell ref="T2:T4"/>
    <mergeCell ref="U2:U4"/>
    <mergeCell ref="X2:X4"/>
    <mergeCell ref="S2:S4"/>
    <mergeCell ref="A2:A4"/>
    <mergeCell ref="P2:P4"/>
    <mergeCell ref="C2:N3"/>
    <mergeCell ref="O2:O4"/>
    <mergeCell ref="Q2:Q4"/>
    <mergeCell ref="B2:B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jay</cp:lastModifiedBy>
  <dcterms:created xsi:type="dcterms:W3CDTF">2026-02-28T05:05:45Z</dcterms:created>
  <dcterms:modified xsi:type="dcterms:W3CDTF">2026-03-08T13:26:45Z</dcterms:modified>
</cp:coreProperties>
</file>